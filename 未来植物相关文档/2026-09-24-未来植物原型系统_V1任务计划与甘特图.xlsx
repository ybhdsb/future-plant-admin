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华中农业大学_研究生_所有文件_AllFiles\实验室_工作文件_WorkFiles\01-项目工作\2026-08-19-未来植物原型系统\"/>
    </mc:Choice>
  </mc:AlternateContent>
  <xr:revisionPtr revIDLastSave="0" documentId="13_ncr:1_{B5599B50-D921-4A13-866E-3E1498828E5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任务计划" sheetId="1" r:id="rId1"/>
    <sheet name="甘特图" sheetId="2" r:id="rId2"/>
    <sheet name="人员与里程碑" sheetId="3" r:id="rId3"/>
    <sheet name="负责人映射" sheetId="4" r:id="rId4"/>
  </sheets>
  <calcPr calcId="191029"/>
</workbook>
</file>

<file path=xl/calcChain.xml><?xml version="1.0" encoding="utf-8"?>
<calcChain xmlns="http://schemas.openxmlformats.org/spreadsheetml/2006/main">
  <c r="M33" i="2" l="1"/>
  <c r="L33" i="2"/>
  <c r="K33" i="2"/>
  <c r="J33" i="2"/>
  <c r="I33" i="2"/>
  <c r="H33" i="2"/>
  <c r="M32" i="2"/>
  <c r="L32" i="2"/>
  <c r="K32" i="2"/>
  <c r="J32" i="2"/>
  <c r="I32" i="2"/>
  <c r="H32" i="2"/>
  <c r="M31" i="2"/>
  <c r="L31" i="2"/>
  <c r="K31" i="2"/>
  <c r="J31" i="2"/>
  <c r="I31" i="2"/>
  <c r="H31" i="2"/>
  <c r="M30" i="2"/>
  <c r="L30" i="2"/>
  <c r="K30" i="2"/>
  <c r="J30" i="2"/>
  <c r="I30" i="2"/>
  <c r="H30" i="2"/>
  <c r="M29" i="2"/>
  <c r="L29" i="2"/>
  <c r="K29" i="2"/>
  <c r="J29" i="2"/>
  <c r="I29" i="2"/>
  <c r="H29" i="2"/>
  <c r="M28" i="2"/>
  <c r="L28" i="2"/>
  <c r="K28" i="2"/>
  <c r="J28" i="2"/>
  <c r="I28" i="2"/>
  <c r="H28" i="2"/>
  <c r="M27" i="2"/>
  <c r="L27" i="2"/>
  <c r="K27" i="2"/>
  <c r="J27" i="2"/>
  <c r="I27" i="2"/>
  <c r="H27" i="2"/>
  <c r="M26" i="2"/>
  <c r="L26" i="2"/>
  <c r="K26" i="2"/>
  <c r="J26" i="2"/>
  <c r="I26" i="2"/>
  <c r="H26" i="2"/>
  <c r="M25" i="2"/>
  <c r="L25" i="2"/>
  <c r="K25" i="2"/>
  <c r="J25" i="2"/>
  <c r="I25" i="2"/>
  <c r="H25" i="2"/>
  <c r="M24" i="2"/>
  <c r="L24" i="2"/>
  <c r="K24" i="2"/>
  <c r="J24" i="2"/>
  <c r="I24" i="2"/>
  <c r="H24" i="2"/>
  <c r="M23" i="2"/>
  <c r="L23" i="2"/>
  <c r="K23" i="2"/>
  <c r="J23" i="2"/>
  <c r="I23" i="2"/>
  <c r="H23" i="2"/>
  <c r="M22" i="2"/>
  <c r="L22" i="2"/>
  <c r="K22" i="2"/>
  <c r="J22" i="2"/>
  <c r="I22" i="2"/>
  <c r="H22" i="2"/>
  <c r="M21" i="2"/>
  <c r="L21" i="2"/>
  <c r="K21" i="2"/>
  <c r="J21" i="2"/>
  <c r="I21" i="2"/>
  <c r="H21" i="2"/>
  <c r="M20" i="2"/>
  <c r="L20" i="2"/>
  <c r="K20" i="2"/>
  <c r="J20" i="2"/>
  <c r="I20" i="2"/>
  <c r="H20" i="2"/>
  <c r="M19" i="2"/>
  <c r="L19" i="2"/>
  <c r="K19" i="2"/>
  <c r="J19" i="2"/>
  <c r="I19" i="2"/>
  <c r="H19" i="2"/>
  <c r="M18" i="2"/>
  <c r="L18" i="2"/>
  <c r="K18" i="2"/>
  <c r="J18" i="2"/>
  <c r="I18" i="2"/>
  <c r="H18" i="2"/>
  <c r="M17" i="2"/>
  <c r="L17" i="2"/>
  <c r="K17" i="2"/>
  <c r="J17" i="2"/>
  <c r="I17" i="2"/>
  <c r="H17" i="2"/>
  <c r="M16" i="2"/>
  <c r="L16" i="2"/>
  <c r="K16" i="2"/>
  <c r="J16" i="2"/>
  <c r="I16" i="2"/>
  <c r="H16" i="2"/>
  <c r="M15" i="2"/>
  <c r="L15" i="2"/>
  <c r="K15" i="2"/>
  <c r="J15" i="2"/>
  <c r="I15" i="2"/>
  <c r="H15" i="2"/>
  <c r="M14" i="2"/>
  <c r="L14" i="2"/>
  <c r="K14" i="2"/>
  <c r="J14" i="2"/>
  <c r="I14" i="2"/>
  <c r="H14" i="2"/>
  <c r="M13" i="2"/>
  <c r="L13" i="2"/>
  <c r="K13" i="2"/>
  <c r="J13" i="2"/>
  <c r="I13" i="2"/>
  <c r="H13" i="2"/>
  <c r="M12" i="2"/>
  <c r="L12" i="2"/>
  <c r="K12" i="2"/>
  <c r="J12" i="2"/>
  <c r="I12" i="2"/>
  <c r="H12" i="2"/>
  <c r="M11" i="2"/>
  <c r="L11" i="2"/>
  <c r="K11" i="2"/>
  <c r="J11" i="2"/>
  <c r="I11" i="2"/>
  <c r="H11" i="2"/>
  <c r="M10" i="2"/>
  <c r="L10" i="2"/>
  <c r="K10" i="2"/>
  <c r="J10" i="2"/>
  <c r="I10" i="2"/>
  <c r="H10" i="2"/>
  <c r="M9" i="2"/>
  <c r="L9" i="2"/>
  <c r="K9" i="2"/>
  <c r="J9" i="2"/>
  <c r="I9" i="2"/>
  <c r="H9" i="2"/>
  <c r="M8" i="2"/>
  <c r="L8" i="2"/>
  <c r="K8" i="2"/>
  <c r="J8" i="2"/>
  <c r="I8" i="2"/>
  <c r="H8" i="2"/>
  <c r="M7" i="2"/>
  <c r="L7" i="2"/>
  <c r="K7" i="2"/>
  <c r="J7" i="2"/>
  <c r="I7" i="2"/>
  <c r="H7" i="2"/>
  <c r="M6" i="2"/>
  <c r="L6" i="2"/>
  <c r="K6" i="2"/>
  <c r="J6" i="2"/>
  <c r="I6" i="2"/>
  <c r="H6" i="2"/>
  <c r="M5" i="2"/>
  <c r="L5" i="2"/>
  <c r="K5" i="2"/>
  <c r="J5" i="2"/>
  <c r="I5" i="2"/>
  <c r="H5" i="2"/>
  <c r="M4" i="2"/>
  <c r="L4" i="2"/>
  <c r="K4" i="2"/>
  <c r="J4" i="2"/>
  <c r="I4" i="2"/>
  <c r="H4" i="2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<sst xmlns="http://schemas.openxmlformats.org/spreadsheetml/2006/main" count="544" uniqueCount="228">
  <si>
    <t>任务ID</t>
  </si>
  <si>
    <t>主线</t>
  </si>
  <si>
    <t>主负责人</t>
  </si>
  <si>
    <t>协作人</t>
  </si>
  <si>
    <t>任务</t>
  </si>
  <si>
    <t>开始日期</t>
  </si>
  <si>
    <t>结束日期</t>
  </si>
  <si>
    <t>工期(天)</t>
  </si>
  <si>
    <t>状态</t>
  </si>
  <si>
    <t>优先级/性质</t>
  </si>
  <si>
    <t>前置任务</t>
  </si>
  <si>
    <t>交付物</t>
  </si>
  <si>
    <t>M00-1</t>
  </si>
  <si>
    <t>机械框架</t>
  </si>
  <si>
    <t>铝型材采购与主体框架搭建</t>
  </si>
  <si>
    <t>已完成</t>
  </si>
  <si>
    <t>当前基线</t>
  </si>
  <si>
    <t>铝型材主体框架已完成</t>
  </si>
  <si>
    <t>M00-2</t>
  </si>
  <si>
    <t>水槽采购</t>
  </si>
  <si>
    <t>水槽已采购</t>
  </si>
  <si>
    <t>E00-1</t>
  </si>
  <si>
    <t>电气传感</t>
  </si>
  <si>
    <t>RGB摄像头画面与云台遥控调试</t>
  </si>
  <si>
    <t>相机画面/云台遥控可用</t>
  </si>
  <si>
    <t>M01</t>
  </si>
  <si>
    <t>水槽安装定位、根系固定结构设计与安装</t>
  </si>
  <si>
    <t>进行中</t>
  </si>
  <si>
    <t>高</t>
  </si>
  <si>
    <t>水槽与根系固定结构完成</t>
  </si>
  <si>
    <t>M02</t>
  </si>
  <si>
    <t>吊顶及四立柱灯条固定结构制作安装</t>
  </si>
  <si>
    <t>灯条固定结构完成</t>
  </si>
  <si>
    <t>M03</t>
  </si>
  <si>
    <t>升降导轨、云台/相机安装结构及行程调试</t>
  </si>
  <si>
    <t>未开始</t>
  </si>
  <si>
    <t>升降与相机机构完成</t>
  </si>
  <si>
    <t>M04</t>
  </si>
  <si>
    <t>气密塑料套、遮光结构、开口与维护方式实现</t>
  </si>
  <si>
    <t>中</t>
  </si>
  <si>
    <t>气密/遮光结构完成</t>
  </si>
  <si>
    <t>M05</t>
  </si>
  <si>
    <t>水泵、氧泵、水管、回水/排水与附件固定</t>
  </si>
  <si>
    <t>M03,E03</t>
  </si>
  <si>
    <t>水循环/曝气机械安装完成</t>
  </si>
  <si>
    <t>M06</t>
  </si>
  <si>
    <t>控制箱、RS485传感器、线缆与管路安装支架/理线结构</t>
  </si>
  <si>
    <t>M04,E02</t>
  </si>
  <si>
    <t>设备安装位与理线结构完成</t>
  </si>
  <si>
    <t>M07</t>
  </si>
  <si>
    <t>防水防漏、结构加固、运动干涉与维护空间检查</t>
  </si>
  <si>
    <t>M05,M06</t>
  </si>
  <si>
    <t>机械问题清单关闭</t>
  </si>
  <si>
    <t>M08</t>
  </si>
  <si>
    <t>整机结构整改、标签与机械部分验收</t>
  </si>
  <si>
    <t>机械部分验收完成</t>
  </si>
  <si>
    <t>E01</t>
  </si>
  <si>
    <t>供电需求统计与供电方案冻结：总功率、24V/12V/5V、电源保护与分配</t>
  </si>
  <si>
    <t>关键</t>
  </si>
  <si>
    <t>供电方案/功率表/配电图</t>
  </si>
  <si>
    <t>E02</t>
  </si>
  <si>
    <t>RS485设备清单与地址表</t>
  </si>
  <si>
    <t>E03</t>
  </si>
  <si>
    <t>控制箱配电、保护、继电器/开关及水泵/氧泵执行控制接入</t>
  </si>
  <si>
    <t>基础执行器可电控</t>
  </si>
  <si>
    <t>E04</t>
  </si>
  <si>
    <t>基础环境数据可稳定读取</t>
  </si>
  <si>
    <t>E05</t>
  </si>
  <si>
    <t>营养液参数可读取/标定</t>
  </si>
  <si>
    <t>E06</t>
  </si>
  <si>
    <t>8通道LED驱动、通道映射、亮度控制与供电联调</t>
  </si>
  <si>
    <t>E01,E03</t>
  </si>
  <si>
    <t>8通道LED可独立控制</t>
  </si>
  <si>
    <t>E07</t>
  </si>
  <si>
    <t>电源、执行器、RS485总线、屏蔽接地与全设备联合接入</t>
  </si>
  <si>
    <t>E03,E05,E06</t>
  </si>
  <si>
    <t>硬件全链路联通</t>
  </si>
  <si>
    <t>E08</t>
  </si>
  <si>
    <t>通信异常、断连恢复、传感器校准与连续运行测试</t>
  </si>
  <si>
    <t>电气稳定性测试记录</t>
  </si>
  <si>
    <t>E09</t>
  </si>
  <si>
    <t>最终接线整理、设备编号、控制箱整理与电气验收</t>
  </si>
  <si>
    <t>电气部分验收完成</t>
  </si>
  <si>
    <t>S01</t>
  </si>
  <si>
    <t>控制系统</t>
  </si>
  <si>
    <t>后端技术栈、API规范、设备模型、数据模型与仓库结构确定</t>
  </si>
  <si>
    <t>API/数据模型V1</t>
  </si>
  <si>
    <t>S02</t>
  </si>
  <si>
    <t>前端工程初始化与总览/控制/历史/数据管理页面骨架</t>
  </si>
  <si>
    <t>前端四页面骨架</t>
  </si>
  <si>
    <t>S03</t>
  </si>
  <si>
    <t>RS485设备抽象层、串口配置、轮询读取与设备配置文件</t>
  </si>
  <si>
    <t>S01,E02</t>
  </si>
  <si>
    <t>RS485统一采集框架</t>
  </si>
  <si>
    <t>S04</t>
  </si>
  <si>
    <t>数据库、持久化存储、传感器采集入库与运行日志</t>
  </si>
  <si>
    <t>S01,S03</t>
  </si>
  <si>
    <t>数据可连续持久化</t>
  </si>
  <si>
    <t>S05</t>
  </si>
  <si>
    <t>Dashboard实时状态与设备在线状态展示（前期可用Mock数据）</t>
  </si>
  <si>
    <t>实时查看功能</t>
  </si>
  <si>
    <t>S06</t>
  </si>
  <si>
    <t>设备手动控制页面：LED、水泵、氧泵、开关、云台</t>
  </si>
  <si>
    <t>网页手动控制功能</t>
  </si>
  <si>
    <t>S07</t>
  </si>
  <si>
    <t>设备控制API：LED/泵/开关/云台及摄像头采集接口</t>
  </si>
  <si>
    <t>S04,E03</t>
  </si>
  <si>
    <t>设备控制API完成</t>
  </si>
  <si>
    <t>S08</t>
  </si>
  <si>
    <t>历史数据查询、趋势曲线、图片/采集记录查看</t>
  </si>
  <si>
    <t>S04,S05</t>
  </si>
  <si>
    <t>历史数据可视化</t>
  </si>
  <si>
    <t>S09</t>
  </si>
  <si>
    <t>数据筛选与CSV/Excel导出功能</t>
  </si>
  <si>
    <t>数据可导出</t>
  </si>
  <si>
    <t>S10</t>
  </si>
  <si>
    <t>软硬件端到端联调：采集→存储→查看→控制→导出</t>
  </si>
  <si>
    <t>E07,S07,S08</t>
  </si>
  <si>
    <t>V1完整业务闭环</t>
  </si>
  <si>
    <t>S11</t>
  </si>
  <si>
    <t>连续运行、异常处理、断连恢复与后端/设备Bug修复</t>
  </si>
  <si>
    <t>S10,E08</t>
  </si>
  <si>
    <t>系统稳定性完成</t>
  </si>
  <si>
    <t>S12</t>
  </si>
  <si>
    <t>界面整理、部署说明、V1版本打包与最终验收材料</t>
  </si>
  <si>
    <t>V1发布/验收版本</t>
  </si>
  <si>
    <t>A01</t>
  </si>
  <si>
    <t>系统验收</t>
  </si>
  <si>
    <t>其余5人</t>
  </si>
  <si>
    <t>整机最终验收：机械、电气、采集、控制、存储、查看、导出</t>
  </si>
  <si>
    <t>硬截止</t>
  </si>
  <si>
    <t>M08,E09,S11,S12</t>
  </si>
  <si>
    <t>V1最终验收完成</t>
  </si>
  <si>
    <t>开始</t>
  </si>
  <si>
    <t>结束</t>
  </si>
  <si>
    <t>W0
09/24-09/27</t>
  </si>
  <si>
    <t>W1
09/28-10/04</t>
  </si>
  <si>
    <t>W2
10/05-10/11</t>
  </si>
  <si>
    <t>W3
10/12-10/18</t>
  </si>
  <si>
    <t>W4
10/19-10/25</t>
  </si>
  <si>
    <t>W5
10/26-10/31</t>
  </si>
  <si>
    <t>检查项</t>
  </si>
  <si>
    <t>结论</t>
  </si>
  <si>
    <t>调整后规则</t>
  </si>
  <si>
    <t>备注</t>
  </si>
  <si>
    <t>负责人映射</t>
  </si>
  <si>
    <t>原表不够合理</t>
  </si>
  <si>
    <t>每项任务必须只有1个主负责人，其他人写协作人</t>
  </si>
  <si>
    <t>已消除所有“A+B”主责</t>
  </si>
  <si>
    <t>机械负载</t>
  </si>
  <si>
    <t>原计划A/B前期任务重叠偏多</t>
  </si>
  <si>
    <t>按人串行：A负责水槽/升降/水路；B负责灯架/遮光/安装接口</t>
  </si>
  <si>
    <t>10/28前机械验收</t>
  </si>
  <si>
    <t>电气依赖</t>
  </si>
  <si>
    <t>原计划供电未冻结就启动配电接入</t>
  </si>
  <si>
    <t>供电方案提前到9/30冻结；RS485规范9/29冻结</t>
  </si>
  <si>
    <t>供电是硬件关键路径</t>
  </si>
  <si>
    <t>软件负载</t>
  </si>
  <si>
    <t>原计划软件A同时做RS485、数据库和API，峰值过高</t>
  </si>
  <si>
    <t>S03→S04→S07顺序化；前端B并行用Mock数据开发</t>
  </si>
  <si>
    <t>控制系统是全项目关键路径</t>
  </si>
  <si>
    <t>联调责任</t>
  </si>
  <si>
    <t>原表多个联调任务写A+B</t>
  </si>
  <si>
    <t>硬件联调E07由电气A主责；软件端到端S10由软件A主责</t>
  </si>
  <si>
    <t>协作人仍需参加</t>
  </si>
  <si>
    <t>最终验收</t>
  </si>
  <si>
    <t>缺少单一兜底负责人</t>
  </si>
  <si>
    <t>A01由软件A主责，其他5人协作</t>
  </si>
  <si>
    <t>因为最终闭环以控制系统为集成入口</t>
  </si>
  <si>
    <t>里程碑</t>
  </si>
  <si>
    <t>目标日期</t>
  </si>
  <si>
    <t>验收目标</t>
  </si>
  <si>
    <t>是否合理</t>
  </si>
  <si>
    <t>供电/RS485冻结</t>
  </si>
  <si>
    <t>供电架构、RS485设备地址/寄存器、接口边界冻结</t>
  </si>
  <si>
    <t>必须达成，否则后续整体顺延</t>
  </si>
  <si>
    <t>基础硬件可用</t>
  </si>
  <si>
    <t>泵/开关可控；基础RS485传感可读</t>
  </si>
  <si>
    <t>合理</t>
  </si>
  <si>
    <t>核心设备接入</t>
  </si>
  <si>
    <t>pH/EC/DO、8通道LED、后端控制API基本完成</t>
  </si>
  <si>
    <t>合理但不可新增需求</t>
  </si>
  <si>
    <t>硬件全链路</t>
  </si>
  <si>
    <t>供电、执行器、RS485、机械安装全部联通</t>
  </si>
  <si>
    <t>V1功能闭环</t>
  </si>
  <si>
    <t>采集→存储→查看→控制→导出</t>
  </si>
  <si>
    <t>关键节点</t>
  </si>
  <si>
    <t>整改/发布</t>
  </si>
  <si>
    <t>稳定性问题关闭、版本打包</t>
  </si>
  <si>
    <t>机械、电气、软件整机验收</t>
  </si>
  <si>
    <t>职责边界</t>
  </si>
  <si>
    <t>主要任务</t>
  </si>
  <si>
    <t>不建议主责的内容</t>
  </si>
  <si>
    <t>协作接口</t>
  </si>
  <si>
    <t>水槽/根系固定、升降机构、水路与泵体安装、结构防水</t>
  </si>
  <si>
    <t>M01、M03、M05、M07</t>
  </si>
  <si>
    <t>灯条/遮光/控制箱支架等偏安装接口工作</t>
  </si>
  <si>
    <t>机械B；水泵供电与电气A</t>
  </si>
  <si>
    <t>灯条安装结构、遮光/气密结构、控制箱/传感器支架、理线与机械收口</t>
  </si>
  <si>
    <t>M02、M04、M06、M08</t>
  </si>
  <si>
    <t>水路核心施工和升降机构核心调试</t>
  </si>
  <si>
    <t>机械A；传感器安装与电气B</t>
  </si>
  <si>
    <t>供电、控制箱配电、保护、继电器/执行器、8通道LED驱动</t>
  </si>
  <si>
    <t>E01、E03、E06、E07、E09</t>
  </si>
  <si>
    <t>RS485传感器逐台协议/标定</t>
  </si>
  <si>
    <t>电气B；后端设备控制与软件A</t>
  </si>
  <si>
    <t>RS485总线、传感器地址/寄存器、环境/营养液传感器、标定与通信稳定性</t>
  </si>
  <si>
    <t>E02、E04、E05、E08</t>
  </si>
  <si>
    <t>总供电设计与执行器功率回路</t>
  </si>
  <si>
    <t>电气A；RS485驱动与软件A</t>
  </si>
  <si>
    <t>后端/API、RS485设备抽象、数据库、设备控制、端到端联调与稳定性</t>
  </si>
  <si>
    <t>S01、S03、S04、S07、S10、S11、A01</t>
  </si>
  <si>
    <t>前端视觉与交互细节</t>
  </si>
  <si>
    <t>软件B；电气A/B</t>
  </si>
  <si>
    <t>前端框架、Dashboard、手动控制、历史曲线、导出、打包/验收界面</t>
  </si>
  <si>
    <t>S02、S05、S06、S08、S09、S12</t>
  </si>
  <si>
    <t>底层RS485协议和供电接线</t>
  </si>
  <si>
    <t>软件A；硬件状态字段需与软件A对齐</t>
  </si>
  <si>
    <t>王强</t>
  </si>
  <si>
    <t>张浩然</t>
  </si>
  <si>
    <t>王顺军</t>
  </si>
  <si>
    <t>吴梦童</t>
  </si>
  <si>
    <t>李松泉、徐晨翱</t>
  </si>
  <si>
    <t>刘振豪、李松泉</t>
  </si>
  <si>
    <t>刘振豪、李松泉,王顺军,吴梦童</t>
  </si>
  <si>
    <r>
      <t>RS485总线规范、地址表、协议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寄存器清单与传感器接线标准</t>
    </r>
  </si>
  <si>
    <r>
      <rPr>
        <sz val="11"/>
        <rFont val="Arial"/>
        <family val="2"/>
      </rPr>
      <t>CO</t>
    </r>
    <r>
      <rPr>
        <sz val="11"/>
        <rFont val="Tahoma"/>
        <family val="2"/>
        <charset val="1"/>
      </rPr>
      <t>₂</t>
    </r>
    <r>
      <rPr>
        <sz val="11"/>
        <rFont val="微软雅黑"/>
        <family val="2"/>
        <charset val="134"/>
      </rPr>
      <t>、水位、溶氧</t>
    </r>
    <r>
      <rPr>
        <sz val="11"/>
        <rFont val="Arial"/>
        <family val="2"/>
      </rPr>
      <t>RS485</t>
    </r>
    <r>
      <rPr>
        <sz val="11"/>
        <rFont val="微软雅黑"/>
        <family val="2"/>
        <charset val="134"/>
      </rPr>
      <t>传感器接入及基础标定</t>
    </r>
    <phoneticPr fontId="11" type="noConversion"/>
  </si>
  <si>
    <r>
      <rPr>
        <sz val="11"/>
        <rFont val="微软雅黑"/>
        <family val="2"/>
        <charset val="134"/>
      </rPr>
      <t>温湿度、pH、EC等</t>
    </r>
    <r>
      <rPr>
        <sz val="11"/>
        <rFont val="Arial"/>
        <family val="2"/>
      </rPr>
      <t>RS485</t>
    </r>
    <r>
      <rPr>
        <sz val="11"/>
        <rFont val="微软雅黑"/>
        <family val="2"/>
        <charset val="134"/>
      </rPr>
      <t>环境传感器接入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</si>
</sst>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m/dd"/>
  </numFmts>
  <fonts count="19">
    <font>
      <sz val="11"/>
      <name val="Carlito"/>
    </font>
    <font>
      <b/>
      <sz val="11"/>
      <color rgb="FFFFFFFF"/>
      <name val="Carlito"/>
    </font>
    <font>
      <sz val="11"/>
      <color rgb="FF5B9BD5"/>
      <name val="Carlito"/>
    </font>
    <font>
      <sz val="11"/>
      <color rgb="FF70AD47"/>
      <name val="Carlito"/>
    </font>
    <font>
      <sz val="11"/>
      <color rgb="FFED7D31"/>
      <name val="Carlito"/>
    </font>
    <font>
      <sz val="9"/>
      <color rgb="FF666666"/>
      <name val="Carlito"/>
    </font>
    <font>
      <b/>
      <sz val="11"/>
      <name val="Carlito"/>
    </font>
    <font>
      <b/>
      <sz val="11"/>
      <color rgb="FF5B9BD5"/>
      <name val="Carlito"/>
    </font>
    <font>
      <b/>
      <sz val="11"/>
      <color rgb="FF70AD47"/>
      <name val="Carlito"/>
    </font>
    <font>
      <b/>
      <sz val="11"/>
      <color rgb="FFED7D3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color theme="1"/>
      <name val="Carlito"/>
    </font>
    <font>
      <sz val="11"/>
      <color theme="1"/>
      <name val="Carlito"/>
      <family val="2"/>
    </font>
    <font>
      <sz val="11"/>
      <name val="Arial"/>
      <family val="2"/>
    </font>
    <font>
      <sz val="11"/>
      <name val="Carlito"/>
      <family val="2"/>
      <charset val="134"/>
    </font>
    <font>
      <sz val="11"/>
      <name val="Tahoma"/>
      <family val="2"/>
      <charset val="1"/>
    </font>
    <font>
      <sz val="11"/>
      <name val="Carlito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70AD47"/>
      </patternFill>
    </fill>
    <fill>
      <patternFill patternType="solid">
        <fgColor rgb="FFFCE4D6"/>
      </patternFill>
    </fill>
    <fill>
      <patternFill patternType="solid">
        <fgColor rgb="FFED7D31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176" fontId="0" fillId="0" borderId="0" xfId="1" applyNumberFormat="1" applyFont="1" applyAlignment="1">
      <alignment vertical="center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3" borderId="0" xfId="1" applyFont="1" applyFill="1" applyAlignment="1">
      <alignment vertical="center" wrapText="1"/>
    </xf>
    <xf numFmtId="0" fontId="2" fillId="4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5" borderId="0" xfId="1" applyFont="1" applyFill="1" applyAlignment="1">
      <alignment vertical="center" wrapText="1"/>
    </xf>
    <xf numFmtId="0" fontId="3" fillId="6" borderId="0" xfId="1" applyFont="1" applyFill="1" applyAlignment="1">
      <alignment horizontal="center" vertical="center"/>
    </xf>
    <xf numFmtId="0" fontId="0" fillId="7" borderId="0" xfId="1" applyFont="1" applyFill="1" applyAlignment="1">
      <alignment vertical="center"/>
    </xf>
    <xf numFmtId="0" fontId="0" fillId="7" borderId="0" xfId="1" applyFont="1" applyFill="1" applyAlignment="1">
      <alignment vertical="center" wrapText="1"/>
    </xf>
    <xf numFmtId="176" fontId="0" fillId="7" borderId="0" xfId="1" applyNumberFormat="1" applyFont="1" applyFill="1" applyAlignment="1">
      <alignment vertical="center"/>
    </xf>
    <xf numFmtId="0" fontId="4" fillId="8" borderId="0" xfId="1" applyFont="1" applyFill="1" applyAlignment="1">
      <alignment horizontal="center" vertical="center"/>
    </xf>
    <xf numFmtId="176" fontId="0" fillId="0" borderId="0" xfId="1" applyNumberFormat="1" applyFont="1" applyAlignment="1">
      <alignment vertical="center" wrapText="1"/>
    </xf>
    <xf numFmtId="176" fontId="0" fillId="3" borderId="0" xfId="1" applyNumberFormat="1" applyFont="1" applyFill="1" applyAlignment="1">
      <alignment vertical="center" wrapText="1"/>
    </xf>
    <xf numFmtId="177" fontId="0" fillId="0" borderId="0" xfId="1" applyNumberFormat="1" applyFont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176" fontId="0" fillId="5" borderId="0" xfId="1" applyNumberFormat="1" applyFont="1" applyFill="1" applyAlignment="1">
      <alignment vertical="center" wrapText="1"/>
    </xf>
    <xf numFmtId="0" fontId="3" fillId="6" borderId="0" xfId="1" applyFont="1" applyFill="1" applyAlignment="1">
      <alignment horizontal="center" vertical="center" wrapText="1"/>
    </xf>
    <xf numFmtId="176" fontId="0" fillId="7" borderId="0" xfId="1" applyNumberFormat="1" applyFont="1" applyFill="1" applyAlignment="1">
      <alignment vertical="center" wrapText="1"/>
    </xf>
    <xf numFmtId="0" fontId="4" fillId="8" borderId="0" xfId="1" applyFont="1" applyFill="1" applyAlignment="1">
      <alignment horizontal="center" vertical="center" wrapText="1"/>
    </xf>
    <xf numFmtId="177" fontId="5" fillId="4" borderId="0" xfId="1" applyNumberFormat="1" applyFont="1" applyFill="1" applyAlignment="1">
      <alignment horizontal="center" vertical="center" wrapText="1"/>
    </xf>
    <xf numFmtId="177" fontId="5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4" borderId="0" xfId="1" applyFont="1" applyFill="1" applyAlignment="1">
      <alignment horizontal="center" vertical="center" wrapText="1"/>
    </xf>
    <xf numFmtId="0" fontId="8" fillId="6" borderId="0" xfId="1" applyFont="1" applyFill="1" applyAlignment="1">
      <alignment horizontal="center" vertical="center" wrapText="1"/>
    </xf>
    <xf numFmtId="0" fontId="9" fillId="8" borderId="0" xfId="1" applyFont="1" applyFill="1" applyAlignment="1">
      <alignment horizontal="center" vertical="center" wrapText="1"/>
    </xf>
    <xf numFmtId="176" fontId="0" fillId="0" borderId="0" xfId="1" applyNumberFormat="1" applyFont="1" applyAlignment="1">
      <alignment wrapText="1"/>
    </xf>
    <xf numFmtId="0" fontId="1" fillId="9" borderId="0" xfId="1" applyFont="1" applyFill="1" applyAlignment="1">
      <alignment horizontal="center" vertical="center" wrapText="1"/>
    </xf>
    <xf numFmtId="176" fontId="1" fillId="2" borderId="0" xfId="1" applyNumberFormat="1" applyFont="1" applyFill="1" applyAlignment="1">
      <alignment horizontal="center" vertical="center" wrapText="1"/>
    </xf>
    <xf numFmtId="0" fontId="1" fillId="10" borderId="0" xfId="1" applyFont="1" applyFill="1" applyAlignment="1">
      <alignment horizontal="center" vertical="center" wrapText="1"/>
    </xf>
    <xf numFmtId="176" fontId="6" fillId="0" borderId="0" xfId="1" applyNumberFormat="1" applyFont="1" applyAlignment="1">
      <alignment horizontal="center" vertical="center" wrapText="1"/>
    </xf>
    <xf numFmtId="176" fontId="8" fillId="6" borderId="0" xfId="1" applyNumberFormat="1" applyFont="1" applyFill="1" applyAlignment="1">
      <alignment horizontal="center" vertical="center" wrapText="1"/>
    </xf>
    <xf numFmtId="176" fontId="9" fillId="8" borderId="0" xfId="1" applyNumberFormat="1" applyFont="1" applyFill="1" applyAlignment="1">
      <alignment horizontal="center" vertical="center" wrapText="1"/>
    </xf>
    <xf numFmtId="176" fontId="0" fillId="0" borderId="0" xfId="1" applyNumberFormat="1" applyFont="1" applyAlignment="1">
      <alignment horizontal="center" vertical="center" wrapText="1"/>
    </xf>
    <xf numFmtId="176" fontId="13" fillId="11" borderId="1" xfId="1" applyNumberFormat="1" applyFont="1" applyFill="1" applyBorder="1" applyAlignment="1">
      <alignment vertical="center" wrapText="1"/>
    </xf>
    <xf numFmtId="176" fontId="16" fillId="0" borderId="0" xfId="1" applyNumberFormat="1" applyFont="1" applyAlignment="1">
      <alignment vertical="center" wrapText="1"/>
    </xf>
    <xf numFmtId="176" fontId="18" fillId="0" borderId="0" xfId="1" applyNumberFormat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13">
    <dxf>
      <font>
        <b/>
        <color rgb="FF000000"/>
      </font>
      <fill>
        <patternFill>
          <bgColor rgb="FFD9D9D9"/>
        </patternFill>
      </fill>
    </dxf>
    <dxf>
      <font>
        <b/>
        <color rgb="FF674EA7"/>
      </font>
      <fill>
        <patternFill>
          <bgColor rgb="FFEADCF8"/>
        </patternFill>
      </fill>
    </dxf>
    <dxf>
      <font>
        <b/>
        <color rgb="FFA64B00"/>
      </font>
      <fill>
        <patternFill>
          <bgColor rgb="FFFCE5CD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674EA7"/>
      </font>
      <fill>
        <patternFill>
          <bgColor rgb="FFEADCF8"/>
        </patternFill>
      </fill>
    </dxf>
    <dxf>
      <font>
        <b/>
        <color rgb="FFA64B00"/>
      </font>
      <fill>
        <patternFill>
          <bgColor rgb="FFFCE5CD"/>
        </patternFill>
      </fill>
    </dxf>
    <dxf>
      <font>
        <b/>
        <color rgb="FF1F4E78"/>
      </font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PlanTable" displayName="TaskPlanTable" ref="A1:L34" totalsRowShown="0">
  <tableColumns count="12">
    <tableColumn id="1" xr3:uid="{00000000-0010-0000-0000-000001000000}" name="任务ID"/>
    <tableColumn id="2" xr3:uid="{00000000-0010-0000-0000-000002000000}" name="主线"/>
    <tableColumn id="3" xr3:uid="{00000000-0010-0000-0000-000003000000}" name="主负责人"/>
    <tableColumn id="4" xr3:uid="{00000000-0010-0000-0000-000004000000}" name="协作人"/>
    <tableColumn id="5" xr3:uid="{00000000-0010-0000-0000-000005000000}" name="任务"/>
    <tableColumn id="6" xr3:uid="{00000000-0010-0000-0000-000006000000}" name="开始日期"/>
    <tableColumn id="7" xr3:uid="{00000000-0010-0000-0000-000007000000}" name="结束日期"/>
    <tableColumn id="8" xr3:uid="{00000000-0010-0000-0000-000008000000}" name="工期(天)"/>
    <tableColumn id="9" xr3:uid="{00000000-0010-0000-0000-000009000000}" name="状态"/>
    <tableColumn id="10" xr3:uid="{00000000-0010-0000-0000-00000A000000}" name="优先级/性质"/>
    <tableColumn id="11" xr3:uid="{00000000-0010-0000-0000-00000B000000}" name="前置任务"/>
    <tableColumn id="12" xr3:uid="{00000000-0010-0000-0000-00000C000000}" name="交付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opLeftCell="A7" workbookViewId="0">
      <selection activeCell="E13" sqref="E13:E21"/>
    </sheetView>
  </sheetViews>
  <sheetFormatPr defaultRowHeight="13.8"/>
  <cols>
    <col min="1" max="1" width="10" customWidth="1"/>
    <col min="2" max="2" width="12" customWidth="1"/>
    <col min="3" max="3" width="16" customWidth="1"/>
    <col min="4" max="4" width="24" customWidth="1"/>
    <col min="5" max="5" width="48" customWidth="1"/>
    <col min="6" max="7" width="12" customWidth="1"/>
    <col min="8" max="8" width="9" customWidth="1"/>
    <col min="9" max="9" width="10" customWidth="1"/>
    <col min="10" max="10" width="12" customWidth="1"/>
    <col min="11" max="11" width="18" customWidth="1"/>
    <col min="12" max="12" width="30" customWidth="1"/>
  </cols>
  <sheetData>
    <row r="1" spans="1:12" ht="22.35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>
      <c r="A2" s="3" t="s">
        <v>12</v>
      </c>
      <c r="B2" s="3" t="s">
        <v>13</v>
      </c>
      <c r="C2" s="3" t="s">
        <v>218</v>
      </c>
      <c r="D2" s="3" t="s">
        <v>219</v>
      </c>
      <c r="E2" s="16" t="s">
        <v>14</v>
      </c>
      <c r="F2" s="16"/>
      <c r="G2" s="16"/>
      <c r="H2" s="3" t="str">
        <f t="shared" ref="H2:H34" si="0">IF(OR(F2="",G2=""),"",G2-F2+1)</f>
        <v/>
      </c>
      <c r="I2" s="3" t="s">
        <v>15</v>
      </c>
      <c r="J2" s="6" t="s">
        <v>16</v>
      </c>
      <c r="K2" s="6"/>
      <c r="L2" s="6" t="s">
        <v>17</v>
      </c>
    </row>
    <row r="3" spans="1:12">
      <c r="A3" s="3" t="s">
        <v>18</v>
      </c>
      <c r="B3" s="3" t="s">
        <v>13</v>
      </c>
      <c r="C3" s="3" t="s">
        <v>218</v>
      </c>
      <c r="D3" s="3" t="s">
        <v>219</v>
      </c>
      <c r="E3" s="16" t="s">
        <v>19</v>
      </c>
      <c r="F3" s="16"/>
      <c r="G3" s="16"/>
      <c r="H3" s="3" t="str">
        <f t="shared" si="0"/>
        <v/>
      </c>
      <c r="I3" s="3" t="s">
        <v>15</v>
      </c>
      <c r="J3" s="6" t="s">
        <v>16</v>
      </c>
      <c r="K3" s="6"/>
      <c r="L3" s="6" t="s">
        <v>20</v>
      </c>
    </row>
    <row r="4" spans="1:12">
      <c r="A4" s="3" t="s">
        <v>21</v>
      </c>
      <c r="B4" s="3" t="s">
        <v>22</v>
      </c>
      <c r="C4" s="3" t="s">
        <v>220</v>
      </c>
      <c r="D4" s="3"/>
      <c r="E4" s="16" t="s">
        <v>23</v>
      </c>
      <c r="F4" s="16"/>
      <c r="G4" s="16"/>
      <c r="H4" s="3" t="str">
        <f t="shared" si="0"/>
        <v/>
      </c>
      <c r="I4" s="3" t="s">
        <v>15</v>
      </c>
      <c r="J4" s="6" t="s">
        <v>16</v>
      </c>
      <c r="K4" s="6"/>
      <c r="L4" s="6" t="s">
        <v>24</v>
      </c>
    </row>
    <row r="5" spans="1:12">
      <c r="A5" s="3" t="s">
        <v>25</v>
      </c>
      <c r="B5" s="3" t="s">
        <v>13</v>
      </c>
      <c r="C5" s="3" t="s">
        <v>218</v>
      </c>
      <c r="E5" s="16" t="s">
        <v>26</v>
      </c>
      <c r="F5" s="16">
        <v>46289</v>
      </c>
      <c r="G5" s="16">
        <v>46295</v>
      </c>
      <c r="H5" s="3">
        <f t="shared" si="0"/>
        <v>7</v>
      </c>
      <c r="I5" s="3" t="s">
        <v>27</v>
      </c>
      <c r="J5" s="6" t="s">
        <v>28</v>
      </c>
      <c r="K5" s="6" t="s">
        <v>18</v>
      </c>
      <c r="L5" s="6" t="s">
        <v>29</v>
      </c>
    </row>
    <row r="6" spans="1:12">
      <c r="A6" s="3" t="s">
        <v>30</v>
      </c>
      <c r="B6" s="3" t="s">
        <v>13</v>
      </c>
      <c r="C6" s="3" t="s">
        <v>219</v>
      </c>
      <c r="D6" s="3"/>
      <c r="E6" s="16" t="s">
        <v>31</v>
      </c>
      <c r="F6" s="16">
        <v>46289</v>
      </c>
      <c r="G6" s="16">
        <v>46297</v>
      </c>
      <c r="H6" s="3">
        <f t="shared" si="0"/>
        <v>9</v>
      </c>
      <c r="I6" s="3" t="s">
        <v>27</v>
      </c>
      <c r="J6" s="6" t="s">
        <v>28</v>
      </c>
      <c r="K6" s="6" t="s">
        <v>12</v>
      </c>
      <c r="L6" s="6" t="s">
        <v>32</v>
      </c>
    </row>
    <row r="7" spans="1:12">
      <c r="A7" s="3" t="s">
        <v>33</v>
      </c>
      <c r="B7" s="3" t="s">
        <v>13</v>
      </c>
      <c r="C7" s="3" t="s">
        <v>218</v>
      </c>
      <c r="D7" s="3"/>
      <c r="E7" s="16" t="s">
        <v>34</v>
      </c>
      <c r="F7" s="16">
        <v>46296</v>
      </c>
      <c r="G7" s="16">
        <v>46304</v>
      </c>
      <c r="H7" s="3">
        <f t="shared" si="0"/>
        <v>9</v>
      </c>
      <c r="I7" s="3" t="s">
        <v>35</v>
      </c>
      <c r="J7" s="6" t="s">
        <v>28</v>
      </c>
      <c r="K7" s="6" t="s">
        <v>25</v>
      </c>
      <c r="L7" s="6" t="s">
        <v>36</v>
      </c>
    </row>
    <row r="8" spans="1:12">
      <c r="A8" s="3" t="s">
        <v>37</v>
      </c>
      <c r="B8" s="3" t="s">
        <v>13</v>
      </c>
      <c r="C8" s="3" t="s">
        <v>219</v>
      </c>
      <c r="D8" s="3"/>
      <c r="E8" s="16" t="s">
        <v>38</v>
      </c>
      <c r="F8" s="16">
        <v>46298</v>
      </c>
      <c r="G8" s="16">
        <v>46305</v>
      </c>
      <c r="H8" s="3">
        <f t="shared" si="0"/>
        <v>8</v>
      </c>
      <c r="I8" s="3" t="s">
        <v>35</v>
      </c>
      <c r="J8" s="6" t="s">
        <v>39</v>
      </c>
      <c r="K8" s="6" t="s">
        <v>30</v>
      </c>
      <c r="L8" s="6" t="s">
        <v>40</v>
      </c>
    </row>
    <row r="9" spans="1:12">
      <c r="A9" s="3" t="s">
        <v>41</v>
      </c>
      <c r="B9" s="3" t="s">
        <v>13</v>
      </c>
      <c r="C9" s="3" t="s">
        <v>218</v>
      </c>
      <c r="D9" s="3" t="s">
        <v>220</v>
      </c>
      <c r="E9" s="16" t="s">
        <v>42</v>
      </c>
      <c r="F9" s="16">
        <v>46305</v>
      </c>
      <c r="G9" s="16">
        <v>46313</v>
      </c>
      <c r="H9" s="3">
        <f t="shared" si="0"/>
        <v>9</v>
      </c>
      <c r="I9" s="3" t="s">
        <v>35</v>
      </c>
      <c r="J9" s="6" t="s">
        <v>28</v>
      </c>
      <c r="K9" s="6" t="s">
        <v>43</v>
      </c>
      <c r="L9" s="6" t="s">
        <v>44</v>
      </c>
    </row>
    <row r="10" spans="1:12">
      <c r="A10" s="3" t="s">
        <v>45</v>
      </c>
      <c r="B10" s="3" t="s">
        <v>13</v>
      </c>
      <c r="C10" s="3" t="s">
        <v>219</v>
      </c>
      <c r="D10" s="3" t="s">
        <v>221</v>
      </c>
      <c r="E10" s="16" t="s">
        <v>46</v>
      </c>
      <c r="F10" s="16">
        <v>46306</v>
      </c>
      <c r="G10" s="16">
        <v>46313</v>
      </c>
      <c r="H10" s="3">
        <f t="shared" si="0"/>
        <v>8</v>
      </c>
      <c r="I10" s="3" t="s">
        <v>35</v>
      </c>
      <c r="J10" s="6" t="s">
        <v>28</v>
      </c>
      <c r="K10" s="6" t="s">
        <v>47</v>
      </c>
      <c r="L10" s="6" t="s">
        <v>48</v>
      </c>
    </row>
    <row r="11" spans="1:12">
      <c r="A11" s="3" t="s">
        <v>49</v>
      </c>
      <c r="B11" s="3" t="s">
        <v>13</v>
      </c>
      <c r="C11" s="3" t="s">
        <v>218</v>
      </c>
      <c r="D11" s="3" t="s">
        <v>219</v>
      </c>
      <c r="E11" s="16" t="s">
        <v>50</v>
      </c>
      <c r="F11" s="16">
        <v>46314</v>
      </c>
      <c r="G11" s="16">
        <v>46318</v>
      </c>
      <c r="H11" s="3">
        <f t="shared" si="0"/>
        <v>5</v>
      </c>
      <c r="I11" s="3" t="s">
        <v>35</v>
      </c>
      <c r="J11" s="6" t="s">
        <v>28</v>
      </c>
      <c r="K11" s="6" t="s">
        <v>51</v>
      </c>
      <c r="L11" s="6" t="s">
        <v>52</v>
      </c>
    </row>
    <row r="12" spans="1:12">
      <c r="A12" s="3" t="s">
        <v>53</v>
      </c>
      <c r="B12" s="3" t="s">
        <v>13</v>
      </c>
      <c r="C12" s="3" t="s">
        <v>219</v>
      </c>
      <c r="D12" s="3" t="s">
        <v>218</v>
      </c>
      <c r="E12" s="16" t="s">
        <v>54</v>
      </c>
      <c r="F12" s="16">
        <v>46319</v>
      </c>
      <c r="G12" s="16">
        <v>46323</v>
      </c>
      <c r="H12" s="3">
        <f t="shared" si="0"/>
        <v>5</v>
      </c>
      <c r="I12" s="3" t="s">
        <v>35</v>
      </c>
      <c r="J12" s="6" t="s">
        <v>28</v>
      </c>
      <c r="K12" s="6" t="s">
        <v>49</v>
      </c>
      <c r="L12" s="6" t="s">
        <v>55</v>
      </c>
    </row>
    <row r="13" spans="1:12" ht="27.6">
      <c r="A13" s="3" t="s">
        <v>56</v>
      </c>
      <c r="B13" s="3" t="s">
        <v>22</v>
      </c>
      <c r="C13" s="3" t="s">
        <v>220</v>
      </c>
      <c r="D13" s="3"/>
      <c r="E13" s="16" t="s">
        <v>57</v>
      </c>
      <c r="F13" s="16">
        <v>46289</v>
      </c>
      <c r="G13" s="16">
        <v>46295</v>
      </c>
      <c r="H13" s="3">
        <f t="shared" si="0"/>
        <v>7</v>
      </c>
      <c r="I13" s="3" t="s">
        <v>27</v>
      </c>
      <c r="J13" s="6" t="s">
        <v>58</v>
      </c>
      <c r="K13" s="6"/>
      <c r="L13" s="6" t="s">
        <v>59</v>
      </c>
    </row>
    <row r="14" spans="1:12" ht="15.6">
      <c r="A14" s="3" t="s">
        <v>60</v>
      </c>
      <c r="B14" s="3" t="s">
        <v>22</v>
      </c>
      <c r="C14" s="3" t="s">
        <v>221</v>
      </c>
      <c r="D14" s="3" t="s">
        <v>222</v>
      </c>
      <c r="E14" s="40" t="s">
        <v>227</v>
      </c>
      <c r="F14" s="16">
        <v>46289</v>
      </c>
      <c r="G14" s="16">
        <v>46294</v>
      </c>
      <c r="H14" s="3">
        <f t="shared" si="0"/>
        <v>6</v>
      </c>
      <c r="I14" s="3" t="s">
        <v>27</v>
      </c>
      <c r="J14" s="6" t="s">
        <v>58</v>
      </c>
      <c r="K14" s="6"/>
      <c r="L14" s="6" t="s">
        <v>61</v>
      </c>
    </row>
    <row r="15" spans="1:12">
      <c r="A15" s="3" t="s">
        <v>62</v>
      </c>
      <c r="B15" s="3" t="s">
        <v>22</v>
      </c>
      <c r="C15" s="3" t="s">
        <v>220</v>
      </c>
      <c r="D15" s="3"/>
      <c r="E15" s="16" t="s">
        <v>63</v>
      </c>
      <c r="F15" s="16">
        <v>46296</v>
      </c>
      <c r="G15" s="16">
        <v>46302</v>
      </c>
      <c r="H15" s="3">
        <f t="shared" si="0"/>
        <v>7</v>
      </c>
      <c r="I15" s="3" t="s">
        <v>35</v>
      </c>
      <c r="J15" s="6" t="s">
        <v>28</v>
      </c>
      <c r="K15" s="6" t="s">
        <v>56</v>
      </c>
      <c r="L15" s="6" t="s">
        <v>64</v>
      </c>
    </row>
    <row r="16" spans="1:12" ht="15.6">
      <c r="A16" s="3" t="s">
        <v>65</v>
      </c>
      <c r="B16" s="3" t="s">
        <v>22</v>
      </c>
      <c r="C16" s="3" t="s">
        <v>221</v>
      </c>
      <c r="D16" s="3" t="s">
        <v>222</v>
      </c>
      <c r="E16" s="41" t="s">
        <v>226</v>
      </c>
      <c r="F16" s="16">
        <v>46295</v>
      </c>
      <c r="G16" s="16">
        <v>46302</v>
      </c>
      <c r="H16" s="3">
        <f t="shared" si="0"/>
        <v>8</v>
      </c>
      <c r="I16" s="3" t="s">
        <v>35</v>
      </c>
      <c r="J16" s="6" t="s">
        <v>28</v>
      </c>
      <c r="K16" s="6" t="s">
        <v>60</v>
      </c>
      <c r="L16" s="6" t="s">
        <v>66</v>
      </c>
    </row>
    <row r="17" spans="1:12">
      <c r="A17" s="3" t="s">
        <v>67</v>
      </c>
      <c r="B17" s="3" t="s">
        <v>22</v>
      </c>
      <c r="C17" s="3" t="s">
        <v>221</v>
      </c>
      <c r="D17" s="3" t="s">
        <v>222</v>
      </c>
      <c r="E17" s="16" t="s">
        <v>70</v>
      </c>
      <c r="F17" s="16">
        <v>46303</v>
      </c>
      <c r="G17" s="16">
        <v>46310</v>
      </c>
      <c r="H17" s="3">
        <f t="shared" si="0"/>
        <v>8</v>
      </c>
      <c r="I17" s="3" t="s">
        <v>35</v>
      </c>
      <c r="J17" s="6" t="s">
        <v>28</v>
      </c>
      <c r="K17" s="6" t="s">
        <v>65</v>
      </c>
      <c r="L17" s="6" t="s">
        <v>68</v>
      </c>
    </row>
    <row r="18" spans="1:12" ht="27.6">
      <c r="A18" s="3" t="s">
        <v>69</v>
      </c>
      <c r="B18" s="3" t="s">
        <v>22</v>
      </c>
      <c r="C18" s="3" t="s">
        <v>220</v>
      </c>
      <c r="D18" s="3" t="s">
        <v>222</v>
      </c>
      <c r="E18" s="39" t="s">
        <v>225</v>
      </c>
      <c r="F18" s="16">
        <v>46303</v>
      </c>
      <c r="G18" s="16">
        <v>46310</v>
      </c>
      <c r="H18" s="3">
        <f t="shared" si="0"/>
        <v>8</v>
      </c>
      <c r="I18" s="3" t="s">
        <v>35</v>
      </c>
      <c r="J18" s="6" t="s">
        <v>58</v>
      </c>
      <c r="K18" s="6" t="s">
        <v>71</v>
      </c>
      <c r="L18" s="6" t="s">
        <v>72</v>
      </c>
    </row>
    <row r="19" spans="1:12">
      <c r="A19" s="3" t="s">
        <v>73</v>
      </c>
      <c r="B19" s="3" t="s">
        <v>22</v>
      </c>
      <c r="C19" s="3" t="s">
        <v>220</v>
      </c>
      <c r="D19" s="3" t="s">
        <v>221</v>
      </c>
      <c r="E19" s="16" t="s">
        <v>74</v>
      </c>
      <c r="F19" s="16">
        <v>46311</v>
      </c>
      <c r="G19" s="16">
        <v>46315</v>
      </c>
      <c r="H19" s="3">
        <f t="shared" si="0"/>
        <v>5</v>
      </c>
      <c r="I19" s="3" t="s">
        <v>35</v>
      </c>
      <c r="J19" s="6" t="s">
        <v>58</v>
      </c>
      <c r="K19" s="6" t="s">
        <v>75</v>
      </c>
      <c r="L19" s="6" t="s">
        <v>76</v>
      </c>
    </row>
    <row r="20" spans="1:12">
      <c r="A20" s="3" t="s">
        <v>77</v>
      </c>
      <c r="B20" s="3" t="s">
        <v>22</v>
      </c>
      <c r="C20" s="3" t="s">
        <v>221</v>
      </c>
      <c r="D20" s="3" t="s">
        <v>220</v>
      </c>
      <c r="E20" s="16" t="s">
        <v>78</v>
      </c>
      <c r="F20" s="16">
        <v>46316</v>
      </c>
      <c r="G20" s="16">
        <v>46320</v>
      </c>
      <c r="H20" s="3">
        <f t="shared" si="0"/>
        <v>5</v>
      </c>
      <c r="I20" s="3" t="s">
        <v>35</v>
      </c>
      <c r="J20" s="6" t="s">
        <v>28</v>
      </c>
      <c r="K20" s="6" t="s">
        <v>73</v>
      </c>
      <c r="L20" s="6" t="s">
        <v>79</v>
      </c>
    </row>
    <row r="21" spans="1:12">
      <c r="A21" s="3" t="s">
        <v>80</v>
      </c>
      <c r="B21" s="3" t="s">
        <v>22</v>
      </c>
      <c r="C21" s="3" t="s">
        <v>220</v>
      </c>
      <c r="D21" s="3" t="s">
        <v>221</v>
      </c>
      <c r="E21" s="16" t="s">
        <v>81</v>
      </c>
      <c r="F21" s="16">
        <v>46321</v>
      </c>
      <c r="G21" s="16">
        <v>46324</v>
      </c>
      <c r="H21" s="3">
        <f t="shared" si="0"/>
        <v>4</v>
      </c>
      <c r="I21" s="3" t="s">
        <v>35</v>
      </c>
      <c r="J21" s="6" t="s">
        <v>28</v>
      </c>
      <c r="K21" s="6" t="s">
        <v>77</v>
      </c>
      <c r="L21" s="6" t="s">
        <v>82</v>
      </c>
    </row>
    <row r="22" spans="1:12" ht="27.6">
      <c r="A22" s="3" t="s">
        <v>83</v>
      </c>
      <c r="B22" s="3" t="s">
        <v>84</v>
      </c>
      <c r="C22" s="3" t="s">
        <v>222</v>
      </c>
      <c r="D22" s="3" t="s">
        <v>223</v>
      </c>
      <c r="E22" s="16" t="s">
        <v>85</v>
      </c>
      <c r="F22" s="16">
        <v>46289</v>
      </c>
      <c r="G22" s="16">
        <v>46292</v>
      </c>
      <c r="H22" s="3">
        <f t="shared" si="0"/>
        <v>4</v>
      </c>
      <c r="I22" s="3" t="s">
        <v>27</v>
      </c>
      <c r="J22" s="6" t="s">
        <v>58</v>
      </c>
      <c r="K22" s="6"/>
      <c r="L22" s="6" t="s">
        <v>86</v>
      </c>
    </row>
    <row r="23" spans="1:12">
      <c r="A23" s="3" t="s">
        <v>87</v>
      </c>
      <c r="B23" s="3" t="s">
        <v>84</v>
      </c>
      <c r="C23" s="3" t="s">
        <v>223</v>
      </c>
      <c r="D23" s="3" t="s">
        <v>222</v>
      </c>
      <c r="E23" s="16" t="s">
        <v>88</v>
      </c>
      <c r="F23" s="16">
        <v>46289</v>
      </c>
      <c r="G23" s="16">
        <v>46295</v>
      </c>
      <c r="H23" s="3">
        <f t="shared" si="0"/>
        <v>7</v>
      </c>
      <c r="I23" s="3" t="s">
        <v>27</v>
      </c>
      <c r="J23" s="6" t="s">
        <v>58</v>
      </c>
      <c r="K23" s="6" t="s">
        <v>83</v>
      </c>
      <c r="L23" s="6" t="s">
        <v>89</v>
      </c>
    </row>
    <row r="24" spans="1:12">
      <c r="A24" s="3" t="s">
        <v>90</v>
      </c>
      <c r="B24" s="3" t="s">
        <v>84</v>
      </c>
      <c r="C24" s="3" t="s">
        <v>222</v>
      </c>
      <c r="D24" s="3" t="s">
        <v>221</v>
      </c>
      <c r="E24" s="16" t="s">
        <v>91</v>
      </c>
      <c r="F24" s="16">
        <v>46293</v>
      </c>
      <c r="G24" s="16">
        <v>46298</v>
      </c>
      <c r="H24" s="3">
        <f t="shared" si="0"/>
        <v>6</v>
      </c>
      <c r="I24" s="3" t="s">
        <v>35</v>
      </c>
      <c r="J24" s="6" t="s">
        <v>58</v>
      </c>
      <c r="K24" s="6" t="s">
        <v>92</v>
      </c>
      <c r="L24" s="6" t="s">
        <v>93</v>
      </c>
    </row>
    <row r="25" spans="1:12">
      <c r="A25" s="3" t="s">
        <v>94</v>
      </c>
      <c r="B25" s="3" t="s">
        <v>84</v>
      </c>
      <c r="C25" s="3" t="s">
        <v>222</v>
      </c>
      <c r="D25" s="3"/>
      <c r="E25" s="16" t="s">
        <v>95</v>
      </c>
      <c r="F25" s="16">
        <v>46299</v>
      </c>
      <c r="G25" s="16">
        <v>46303</v>
      </c>
      <c r="H25" s="3">
        <f t="shared" si="0"/>
        <v>5</v>
      </c>
      <c r="I25" s="3" t="s">
        <v>35</v>
      </c>
      <c r="J25" s="6" t="s">
        <v>58</v>
      </c>
      <c r="K25" s="6" t="s">
        <v>96</v>
      </c>
      <c r="L25" s="6" t="s">
        <v>97</v>
      </c>
    </row>
    <row r="26" spans="1:12" ht="27.6">
      <c r="A26" s="3" t="s">
        <v>98</v>
      </c>
      <c r="B26" s="3" t="s">
        <v>84</v>
      </c>
      <c r="C26" s="3" t="s">
        <v>223</v>
      </c>
      <c r="D26" s="3" t="s">
        <v>222</v>
      </c>
      <c r="E26" s="16" t="s">
        <v>99</v>
      </c>
      <c r="F26" s="16">
        <v>46296</v>
      </c>
      <c r="G26" s="16">
        <v>46302</v>
      </c>
      <c r="H26" s="3">
        <f t="shared" si="0"/>
        <v>7</v>
      </c>
      <c r="I26" s="3" t="s">
        <v>35</v>
      </c>
      <c r="J26" s="6" t="s">
        <v>28</v>
      </c>
      <c r="K26" s="6" t="s">
        <v>87</v>
      </c>
      <c r="L26" s="6" t="s">
        <v>100</v>
      </c>
    </row>
    <row r="27" spans="1:12">
      <c r="A27" s="3" t="s">
        <v>101</v>
      </c>
      <c r="B27" s="3" t="s">
        <v>84</v>
      </c>
      <c r="C27" s="3" t="s">
        <v>223</v>
      </c>
      <c r="D27" s="3" t="s">
        <v>222</v>
      </c>
      <c r="E27" s="16" t="s">
        <v>102</v>
      </c>
      <c r="F27" s="16">
        <v>46303</v>
      </c>
      <c r="G27" s="16">
        <v>46309</v>
      </c>
      <c r="H27" s="3">
        <f t="shared" si="0"/>
        <v>7</v>
      </c>
      <c r="I27" s="3" t="s">
        <v>35</v>
      </c>
      <c r="J27" s="6" t="s">
        <v>58</v>
      </c>
      <c r="K27" s="6" t="s">
        <v>98</v>
      </c>
      <c r="L27" s="6" t="s">
        <v>103</v>
      </c>
    </row>
    <row r="28" spans="1:12">
      <c r="A28" s="3" t="s">
        <v>104</v>
      </c>
      <c r="B28" s="3" t="s">
        <v>84</v>
      </c>
      <c r="C28" s="3" t="s">
        <v>222</v>
      </c>
      <c r="D28" s="3" t="s">
        <v>220</v>
      </c>
      <c r="E28" s="16" t="s">
        <v>105</v>
      </c>
      <c r="F28" s="16">
        <v>46304</v>
      </c>
      <c r="G28" s="16">
        <v>46310</v>
      </c>
      <c r="H28" s="3">
        <f t="shared" si="0"/>
        <v>7</v>
      </c>
      <c r="I28" s="3" t="s">
        <v>35</v>
      </c>
      <c r="J28" s="6" t="s">
        <v>58</v>
      </c>
      <c r="K28" s="6" t="s">
        <v>106</v>
      </c>
      <c r="L28" s="6" t="s">
        <v>107</v>
      </c>
    </row>
    <row r="29" spans="1:12">
      <c r="A29" s="3" t="s">
        <v>108</v>
      </c>
      <c r="B29" s="3" t="s">
        <v>84</v>
      </c>
      <c r="C29" s="3" t="s">
        <v>223</v>
      </c>
      <c r="D29" s="3" t="s">
        <v>222</v>
      </c>
      <c r="E29" s="16" t="s">
        <v>109</v>
      </c>
      <c r="F29" s="16">
        <v>46310</v>
      </c>
      <c r="G29" s="16">
        <v>46314</v>
      </c>
      <c r="H29" s="3">
        <f t="shared" si="0"/>
        <v>5</v>
      </c>
      <c r="I29" s="3" t="s">
        <v>35</v>
      </c>
      <c r="J29" s="6" t="s">
        <v>28</v>
      </c>
      <c r="K29" s="6" t="s">
        <v>110</v>
      </c>
      <c r="L29" s="6" t="s">
        <v>111</v>
      </c>
    </row>
    <row r="30" spans="1:12">
      <c r="A30" s="3" t="s">
        <v>112</v>
      </c>
      <c r="B30" s="3" t="s">
        <v>84</v>
      </c>
      <c r="C30" s="3" t="s">
        <v>223</v>
      </c>
      <c r="D30" s="3"/>
      <c r="E30" s="16" t="s">
        <v>113</v>
      </c>
      <c r="F30" s="16">
        <v>46315</v>
      </c>
      <c r="G30" s="16">
        <v>46317</v>
      </c>
      <c r="H30" s="3">
        <f t="shared" si="0"/>
        <v>3</v>
      </c>
      <c r="I30" s="3" t="s">
        <v>35</v>
      </c>
      <c r="J30" s="6" t="s">
        <v>28</v>
      </c>
      <c r="K30" s="6" t="s">
        <v>108</v>
      </c>
      <c r="L30" s="6" t="s">
        <v>114</v>
      </c>
    </row>
    <row r="31" spans="1:12" ht="27.6">
      <c r="A31" s="3" t="s">
        <v>115</v>
      </c>
      <c r="B31" s="3" t="s">
        <v>84</v>
      </c>
      <c r="C31" s="3" t="s">
        <v>222</v>
      </c>
      <c r="D31" s="3" t="s">
        <v>224</v>
      </c>
      <c r="E31" s="16" t="s">
        <v>116</v>
      </c>
      <c r="F31" s="16">
        <v>46315</v>
      </c>
      <c r="G31" s="16">
        <v>46320</v>
      </c>
      <c r="H31" s="3">
        <f t="shared" si="0"/>
        <v>6</v>
      </c>
      <c r="I31" s="3" t="s">
        <v>35</v>
      </c>
      <c r="J31" s="6" t="s">
        <v>58</v>
      </c>
      <c r="K31" s="6" t="s">
        <v>117</v>
      </c>
      <c r="L31" s="6" t="s">
        <v>118</v>
      </c>
    </row>
    <row r="32" spans="1:12">
      <c r="A32" s="3" t="s">
        <v>119</v>
      </c>
      <c r="B32" s="3" t="s">
        <v>84</v>
      </c>
      <c r="C32" s="3" t="s">
        <v>222</v>
      </c>
      <c r="D32" s="3" t="s">
        <v>223</v>
      </c>
      <c r="E32" s="16" t="s">
        <v>120</v>
      </c>
      <c r="F32" s="16">
        <v>46321</v>
      </c>
      <c r="G32" s="16">
        <v>46324</v>
      </c>
      <c r="H32" s="3">
        <f t="shared" si="0"/>
        <v>4</v>
      </c>
      <c r="I32" s="3" t="s">
        <v>35</v>
      </c>
      <c r="J32" s="6" t="s">
        <v>58</v>
      </c>
      <c r="K32" s="6" t="s">
        <v>121</v>
      </c>
      <c r="L32" s="6" t="s">
        <v>122</v>
      </c>
    </row>
    <row r="33" spans="1:12">
      <c r="A33" s="3" t="s">
        <v>123</v>
      </c>
      <c r="B33" s="3" t="s">
        <v>84</v>
      </c>
      <c r="C33" s="3" t="s">
        <v>223</v>
      </c>
      <c r="D33" s="3" t="s">
        <v>222</v>
      </c>
      <c r="E33" s="16" t="s">
        <v>124</v>
      </c>
      <c r="F33" s="16">
        <v>46321</v>
      </c>
      <c r="G33" s="16">
        <v>46325</v>
      </c>
      <c r="H33" s="3">
        <f t="shared" si="0"/>
        <v>5</v>
      </c>
      <c r="I33" s="3" t="s">
        <v>35</v>
      </c>
      <c r="J33" s="6" t="s">
        <v>58</v>
      </c>
      <c r="K33" s="6" t="s">
        <v>115</v>
      </c>
      <c r="L33" s="6" t="s">
        <v>125</v>
      </c>
    </row>
    <row r="34" spans="1:12" ht="27.6">
      <c r="A34" s="3" t="s">
        <v>126</v>
      </c>
      <c r="B34" s="3" t="s">
        <v>127</v>
      </c>
      <c r="C34" s="3" t="s">
        <v>222</v>
      </c>
      <c r="D34" s="3" t="s">
        <v>128</v>
      </c>
      <c r="E34" s="16" t="s">
        <v>129</v>
      </c>
      <c r="F34" s="16">
        <v>46326</v>
      </c>
      <c r="G34" s="16">
        <v>46326</v>
      </c>
      <c r="H34" s="3">
        <f t="shared" si="0"/>
        <v>1</v>
      </c>
      <c r="I34" s="3" t="s">
        <v>35</v>
      </c>
      <c r="J34" s="6" t="s">
        <v>130</v>
      </c>
      <c r="K34" s="6" t="s">
        <v>131</v>
      </c>
      <c r="L34" s="6" t="s">
        <v>132</v>
      </c>
    </row>
    <row r="35" spans="1:12">
      <c r="A35" s="2"/>
      <c r="B35" s="2"/>
      <c r="C35" s="2"/>
      <c r="D35" s="3"/>
      <c r="E35" s="4"/>
      <c r="F35" s="4"/>
      <c r="G35" s="2"/>
      <c r="H35" s="2"/>
      <c r="I35" s="3"/>
    </row>
    <row r="36" spans="1:12">
      <c r="A36" s="2"/>
      <c r="B36" s="2"/>
      <c r="C36" s="2"/>
      <c r="D36" s="3"/>
      <c r="E36" s="4"/>
      <c r="F36" s="4"/>
      <c r="G36" s="2"/>
      <c r="H36" s="2"/>
      <c r="I36" s="3"/>
    </row>
  </sheetData>
  <phoneticPr fontId="11" type="noConversion"/>
  <conditionalFormatting sqref="H2:H33">
    <cfRule type="expression" dxfId="12" priority="1">
      <formula>H2="已完成"</formula>
    </cfRule>
    <cfRule type="expression" dxfId="11" priority="2">
      <formula>H2="进行中"</formula>
    </cfRule>
    <cfRule type="expression" dxfId="10" priority="3">
      <formula>H2="受阻"</formula>
    </cfRule>
  </conditionalFormatting>
  <conditionalFormatting sqref="I2:I34">
    <cfRule type="expression" dxfId="9" priority="4">
      <formula>I2="已完成"</formula>
    </cfRule>
    <cfRule type="expression" dxfId="8" priority="5">
      <formula>I2="进行中"</formula>
    </cfRule>
    <cfRule type="expression" dxfId="7" priority="6">
      <formula>I2="受阻"</formula>
    </cfRule>
  </conditionalFormatting>
  <dataValidations count="2">
    <dataValidation type="list" sqref="H2:H36" xr:uid="{00000000-0002-0000-0000-000000000000}">
      <formula1>"未开始,进行中,已完成,阻塞"</formula1>
    </dataValidation>
    <dataValidation type="list" sqref="H2:H33 I2:I34" xr:uid="{00000000-0002-0000-0000-000001000000}">
      <formula1>"已完成,进行中,未开始,受阻"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topLeftCell="A10" workbookViewId="0">
      <selection activeCell="C32" sqref="C32"/>
    </sheetView>
  </sheetViews>
  <sheetFormatPr defaultRowHeight="13.8"/>
  <cols>
    <col min="1" max="1" width="10" customWidth="1"/>
    <col min="2" max="2" width="12" customWidth="1"/>
    <col min="3" max="3" width="16" customWidth="1"/>
    <col min="4" max="4" width="24" customWidth="1"/>
    <col min="5" max="5" width="46" customWidth="1"/>
    <col min="6" max="7" width="12" customWidth="1"/>
    <col min="8" max="13" width="15" customWidth="1"/>
    <col min="14" max="14" width="13" customWidth="1"/>
  </cols>
  <sheetData>
    <row r="1" spans="1:14" ht="27.15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133</v>
      </c>
      <c r="G1" s="34" t="s">
        <v>134</v>
      </c>
      <c r="H1" s="34" t="s">
        <v>135</v>
      </c>
      <c r="I1" s="34" t="s">
        <v>136</v>
      </c>
      <c r="J1" s="34" t="s">
        <v>137</v>
      </c>
      <c r="K1" s="34" t="s">
        <v>138</v>
      </c>
      <c r="L1" s="34" t="s">
        <v>139</v>
      </c>
      <c r="M1" s="34" t="s">
        <v>140</v>
      </c>
      <c r="N1" s="1"/>
    </row>
    <row r="2" spans="1:14">
      <c r="A2" s="7"/>
      <c r="B2" s="7"/>
      <c r="C2" s="7"/>
      <c r="D2" s="7"/>
      <c r="E2" s="17"/>
      <c r="F2" s="17"/>
      <c r="G2" s="25"/>
      <c r="H2" s="26">
        <v>46289</v>
      </c>
      <c r="I2" s="26">
        <v>46293</v>
      </c>
      <c r="J2" s="26">
        <v>46300</v>
      </c>
      <c r="K2" s="26">
        <v>46307</v>
      </c>
      <c r="L2" s="26">
        <v>46314</v>
      </c>
      <c r="M2" s="18">
        <v>46321</v>
      </c>
      <c r="N2" s="9"/>
    </row>
    <row r="3" spans="1:14">
      <c r="A3" s="7"/>
      <c r="B3" s="7"/>
      <c r="C3" s="7"/>
      <c r="D3" s="7"/>
      <c r="E3" s="17"/>
      <c r="F3" s="17"/>
      <c r="G3" s="25"/>
      <c r="H3" s="26">
        <v>46292</v>
      </c>
      <c r="I3" s="26">
        <v>46299</v>
      </c>
      <c r="J3" s="26">
        <v>46306</v>
      </c>
      <c r="K3" s="26">
        <v>46313</v>
      </c>
      <c r="L3" s="26">
        <v>46320</v>
      </c>
      <c r="M3" s="18">
        <v>46326</v>
      </c>
      <c r="N3" s="9"/>
    </row>
    <row r="4" spans="1:14">
      <c r="A4" s="7" t="s">
        <v>25</v>
      </c>
      <c r="B4" s="7" t="s">
        <v>13</v>
      </c>
      <c r="C4" s="7" t="s">
        <v>218</v>
      </c>
      <c r="D4" s="7"/>
      <c r="E4" s="17" t="s">
        <v>26</v>
      </c>
      <c r="F4" s="17">
        <v>46289</v>
      </c>
      <c r="G4" s="35">
        <v>46295</v>
      </c>
      <c r="H4" s="28" t="str">
        <f t="shared" ref="H4:M13" si="0">IF(OR($F4="",$G4=""),"",IF(AND($F4&lt;=H$3,$G4&gt;=H$2),"■",""))</f>
        <v>■</v>
      </c>
      <c r="I4" s="27" t="str">
        <f t="shared" si="0"/>
        <v>■</v>
      </c>
      <c r="J4" s="27" t="str">
        <f t="shared" si="0"/>
        <v/>
      </c>
      <c r="K4" s="27" t="str">
        <f t="shared" si="0"/>
        <v/>
      </c>
      <c r="L4" s="27" t="str">
        <f t="shared" si="0"/>
        <v/>
      </c>
      <c r="M4" s="19" t="str">
        <f t="shared" si="0"/>
        <v/>
      </c>
      <c r="N4" s="9"/>
    </row>
    <row r="5" spans="1:14">
      <c r="A5" s="7" t="s">
        <v>30</v>
      </c>
      <c r="B5" s="7" t="s">
        <v>13</v>
      </c>
      <c r="C5" s="7" t="s">
        <v>219</v>
      </c>
      <c r="D5" s="7"/>
      <c r="E5" s="17" t="s">
        <v>31</v>
      </c>
      <c r="F5" s="17">
        <v>46289</v>
      </c>
      <c r="G5" s="35">
        <v>46297</v>
      </c>
      <c r="H5" s="28" t="str">
        <f t="shared" si="0"/>
        <v>■</v>
      </c>
      <c r="I5" s="27" t="str">
        <f t="shared" si="0"/>
        <v>■</v>
      </c>
      <c r="J5" s="27" t="str">
        <f t="shared" si="0"/>
        <v/>
      </c>
      <c r="K5" s="27" t="str">
        <f t="shared" si="0"/>
        <v/>
      </c>
      <c r="L5" s="27" t="str">
        <f t="shared" si="0"/>
        <v/>
      </c>
      <c r="M5" s="19" t="str">
        <f t="shared" si="0"/>
        <v/>
      </c>
      <c r="N5" s="9"/>
    </row>
    <row r="6" spans="1:14">
      <c r="A6" s="7" t="s">
        <v>33</v>
      </c>
      <c r="B6" s="7" t="s">
        <v>13</v>
      </c>
      <c r="C6" s="7" t="s">
        <v>218</v>
      </c>
      <c r="D6" s="7"/>
      <c r="E6" s="17" t="s">
        <v>34</v>
      </c>
      <c r="F6" s="17">
        <v>46296</v>
      </c>
      <c r="G6" s="35">
        <v>46304</v>
      </c>
      <c r="H6" s="27" t="str">
        <f t="shared" si="0"/>
        <v/>
      </c>
      <c r="I6" s="28" t="str">
        <f t="shared" si="0"/>
        <v>■</v>
      </c>
      <c r="J6" s="27" t="str">
        <f t="shared" si="0"/>
        <v>■</v>
      </c>
      <c r="K6" s="27" t="str">
        <f t="shared" si="0"/>
        <v/>
      </c>
      <c r="L6" s="27" t="str">
        <f t="shared" si="0"/>
        <v/>
      </c>
      <c r="M6" s="19" t="str">
        <f t="shared" si="0"/>
        <v/>
      </c>
      <c r="N6" s="9"/>
    </row>
    <row r="7" spans="1:14">
      <c r="A7" s="7" t="s">
        <v>37</v>
      </c>
      <c r="B7" s="7" t="s">
        <v>13</v>
      </c>
      <c r="C7" s="7" t="s">
        <v>219</v>
      </c>
      <c r="D7" s="7"/>
      <c r="E7" s="17" t="s">
        <v>38</v>
      </c>
      <c r="F7" s="17">
        <v>46298</v>
      </c>
      <c r="G7" s="35">
        <v>46305</v>
      </c>
      <c r="H7" s="27" t="str">
        <f t="shared" si="0"/>
        <v/>
      </c>
      <c r="I7" s="28" t="str">
        <f t="shared" si="0"/>
        <v>■</v>
      </c>
      <c r="J7" s="28" t="str">
        <f t="shared" si="0"/>
        <v>■</v>
      </c>
      <c r="K7" s="27" t="str">
        <f t="shared" si="0"/>
        <v/>
      </c>
      <c r="L7" s="27" t="str">
        <f t="shared" si="0"/>
        <v/>
      </c>
      <c r="M7" s="19" t="str">
        <f t="shared" si="0"/>
        <v/>
      </c>
      <c r="N7" s="9"/>
    </row>
    <row r="8" spans="1:14">
      <c r="A8" s="7" t="s">
        <v>41</v>
      </c>
      <c r="B8" s="7" t="s">
        <v>13</v>
      </c>
      <c r="C8" s="7" t="s">
        <v>218</v>
      </c>
      <c r="D8" s="7" t="s">
        <v>220</v>
      </c>
      <c r="E8" s="17" t="s">
        <v>42</v>
      </c>
      <c r="F8" s="17">
        <v>46305</v>
      </c>
      <c r="G8" s="35">
        <v>46313</v>
      </c>
      <c r="H8" s="27" t="str">
        <f t="shared" si="0"/>
        <v/>
      </c>
      <c r="I8" s="27" t="str">
        <f t="shared" si="0"/>
        <v/>
      </c>
      <c r="J8" s="28" t="str">
        <f t="shared" si="0"/>
        <v>■</v>
      </c>
      <c r="K8" s="27" t="str">
        <f t="shared" si="0"/>
        <v>■</v>
      </c>
      <c r="L8" s="27" t="str">
        <f t="shared" si="0"/>
        <v/>
      </c>
      <c r="M8" s="19" t="str">
        <f t="shared" si="0"/>
        <v/>
      </c>
      <c r="N8" s="9"/>
    </row>
    <row r="9" spans="1:14">
      <c r="A9" s="7" t="s">
        <v>45</v>
      </c>
      <c r="B9" s="7" t="s">
        <v>13</v>
      </c>
      <c r="C9" s="7" t="s">
        <v>219</v>
      </c>
      <c r="D9" s="7" t="s">
        <v>221</v>
      </c>
      <c r="E9" s="17" t="s">
        <v>46</v>
      </c>
      <c r="F9" s="17">
        <v>46306</v>
      </c>
      <c r="G9" s="35">
        <v>46313</v>
      </c>
      <c r="H9" s="27" t="str">
        <f t="shared" si="0"/>
        <v/>
      </c>
      <c r="I9" s="27" t="str">
        <f t="shared" si="0"/>
        <v/>
      </c>
      <c r="J9" s="28" t="str">
        <f t="shared" si="0"/>
        <v>■</v>
      </c>
      <c r="K9" s="28" t="str">
        <f t="shared" si="0"/>
        <v>■</v>
      </c>
      <c r="L9" s="27" t="str">
        <f t="shared" si="0"/>
        <v/>
      </c>
      <c r="M9" s="19" t="str">
        <f t="shared" si="0"/>
        <v/>
      </c>
      <c r="N9" s="9"/>
    </row>
    <row r="10" spans="1:14">
      <c r="A10" s="7" t="s">
        <v>49</v>
      </c>
      <c r="B10" s="7" t="s">
        <v>13</v>
      </c>
      <c r="C10" s="7" t="s">
        <v>218</v>
      </c>
      <c r="D10" s="7" t="s">
        <v>219</v>
      </c>
      <c r="E10" s="17" t="s">
        <v>50</v>
      </c>
      <c r="F10" s="17">
        <v>46314</v>
      </c>
      <c r="G10" s="35">
        <v>46318</v>
      </c>
      <c r="H10" s="27" t="str">
        <f t="shared" si="0"/>
        <v/>
      </c>
      <c r="I10" s="27" t="str">
        <f t="shared" si="0"/>
        <v/>
      </c>
      <c r="J10" s="27" t="str">
        <f t="shared" si="0"/>
        <v/>
      </c>
      <c r="K10" s="27" t="str">
        <f t="shared" si="0"/>
        <v/>
      </c>
      <c r="L10" s="28" t="str">
        <f t="shared" si="0"/>
        <v>■</v>
      </c>
      <c r="M10" s="19" t="str">
        <f t="shared" si="0"/>
        <v/>
      </c>
      <c r="N10" s="9"/>
    </row>
    <row r="11" spans="1:14">
      <c r="A11" s="7" t="s">
        <v>53</v>
      </c>
      <c r="B11" s="7" t="s">
        <v>13</v>
      </c>
      <c r="C11" s="7" t="s">
        <v>219</v>
      </c>
      <c r="D11" s="7" t="s">
        <v>218</v>
      </c>
      <c r="E11" s="17" t="s">
        <v>54</v>
      </c>
      <c r="F11" s="17">
        <v>46319</v>
      </c>
      <c r="G11" s="35">
        <v>46323</v>
      </c>
      <c r="H11" s="27" t="str">
        <f t="shared" si="0"/>
        <v/>
      </c>
      <c r="I11" s="27" t="str">
        <f t="shared" si="0"/>
        <v/>
      </c>
      <c r="J11" s="27" t="str">
        <f t="shared" si="0"/>
        <v/>
      </c>
      <c r="K11" s="27" t="str">
        <f t="shared" si="0"/>
        <v/>
      </c>
      <c r="L11" s="27" t="str">
        <f t="shared" si="0"/>
        <v>■</v>
      </c>
      <c r="M11" s="20" t="str">
        <f t="shared" si="0"/>
        <v>■</v>
      </c>
      <c r="N11" s="9"/>
    </row>
    <row r="12" spans="1:14" ht="27.6">
      <c r="A12" s="7" t="s">
        <v>56</v>
      </c>
      <c r="B12" s="7" t="s">
        <v>22</v>
      </c>
      <c r="C12" s="7" t="s">
        <v>220</v>
      </c>
      <c r="D12" s="7"/>
      <c r="E12" s="7" t="s">
        <v>57</v>
      </c>
      <c r="F12" s="17">
        <v>46289</v>
      </c>
      <c r="G12" s="35">
        <v>46295</v>
      </c>
      <c r="H12" s="27" t="str">
        <f t="shared" si="0"/>
        <v>■</v>
      </c>
      <c r="I12" s="27" t="str">
        <f t="shared" si="0"/>
        <v>■</v>
      </c>
      <c r="J12" s="27" t="str">
        <f t="shared" si="0"/>
        <v/>
      </c>
      <c r="K12" s="27" t="str">
        <f t="shared" si="0"/>
        <v/>
      </c>
      <c r="L12" s="27" t="str">
        <f t="shared" si="0"/>
        <v/>
      </c>
      <c r="M12" s="19" t="str">
        <f t="shared" si="0"/>
        <v/>
      </c>
      <c r="N12" s="8"/>
    </row>
    <row r="13" spans="1:14" ht="15.6">
      <c r="A13" s="10" t="s">
        <v>60</v>
      </c>
      <c r="B13" s="10" t="s">
        <v>22</v>
      </c>
      <c r="C13" s="10" t="s">
        <v>221</v>
      </c>
      <c r="D13" s="10" t="s">
        <v>222</v>
      </c>
      <c r="E13" s="10" t="s">
        <v>227</v>
      </c>
      <c r="F13" s="21">
        <v>46289</v>
      </c>
      <c r="G13" s="36">
        <v>46294</v>
      </c>
      <c r="H13" s="27" t="str">
        <f t="shared" si="0"/>
        <v>■</v>
      </c>
      <c r="I13" s="27" t="str">
        <f t="shared" si="0"/>
        <v>■</v>
      </c>
      <c r="J13" s="27" t="str">
        <f t="shared" si="0"/>
        <v/>
      </c>
      <c r="K13" s="27" t="str">
        <f t="shared" si="0"/>
        <v/>
      </c>
      <c r="L13" s="27" t="str">
        <f t="shared" si="0"/>
        <v/>
      </c>
      <c r="M13" s="19" t="str">
        <f t="shared" si="0"/>
        <v/>
      </c>
      <c r="N13" s="9"/>
    </row>
    <row r="14" spans="1:14" ht="27.6">
      <c r="A14" s="10" t="s">
        <v>62</v>
      </c>
      <c r="B14" s="10" t="s">
        <v>22</v>
      </c>
      <c r="C14" s="10" t="s">
        <v>220</v>
      </c>
      <c r="D14" s="10"/>
      <c r="E14" s="10" t="s">
        <v>63</v>
      </c>
      <c r="F14" s="21">
        <v>46296</v>
      </c>
      <c r="G14" s="36">
        <v>46302</v>
      </c>
      <c r="H14" s="27" t="str">
        <f t="shared" ref="H14:M23" si="1">IF(OR($F14="",$G14=""),"",IF(AND($F14&lt;=H$3,$G14&gt;=H$2),"■",""))</f>
        <v/>
      </c>
      <c r="I14" s="27" t="str">
        <f t="shared" si="1"/>
        <v>■</v>
      </c>
      <c r="J14" s="27" t="str">
        <f t="shared" si="1"/>
        <v>■</v>
      </c>
      <c r="K14" s="27" t="str">
        <f t="shared" si="1"/>
        <v/>
      </c>
      <c r="L14" s="27" t="str">
        <f t="shared" si="1"/>
        <v/>
      </c>
      <c r="M14" s="19" t="str">
        <f t="shared" si="1"/>
        <v/>
      </c>
      <c r="N14" s="9"/>
    </row>
    <row r="15" spans="1:14" ht="15.6">
      <c r="A15" s="10" t="s">
        <v>65</v>
      </c>
      <c r="B15" s="10" t="s">
        <v>22</v>
      </c>
      <c r="C15" s="10" t="s">
        <v>221</v>
      </c>
      <c r="D15" s="10" t="s">
        <v>222</v>
      </c>
      <c r="E15" s="10" t="s">
        <v>226</v>
      </c>
      <c r="F15" s="21">
        <v>46295</v>
      </c>
      <c r="G15" s="35">
        <v>46302</v>
      </c>
      <c r="H15" s="29" t="str">
        <f t="shared" si="1"/>
        <v/>
      </c>
      <c r="I15" s="27" t="str">
        <f t="shared" si="1"/>
        <v>■</v>
      </c>
      <c r="J15" s="27" t="str">
        <f t="shared" si="1"/>
        <v>■</v>
      </c>
      <c r="K15" s="27" t="str">
        <f t="shared" si="1"/>
        <v/>
      </c>
      <c r="L15" s="27" t="str">
        <f t="shared" si="1"/>
        <v/>
      </c>
      <c r="M15" s="19" t="str">
        <f t="shared" si="1"/>
        <v/>
      </c>
      <c r="N15" s="9"/>
    </row>
    <row r="16" spans="1:14">
      <c r="A16" s="10" t="s">
        <v>67</v>
      </c>
      <c r="B16" s="10" t="s">
        <v>22</v>
      </c>
      <c r="C16" s="10" t="s">
        <v>221</v>
      </c>
      <c r="D16" s="10" t="s">
        <v>222</v>
      </c>
      <c r="E16" s="10" t="s">
        <v>70</v>
      </c>
      <c r="F16" s="21">
        <v>46303</v>
      </c>
      <c r="G16" s="35">
        <v>46310</v>
      </c>
      <c r="H16" s="29" t="str">
        <f t="shared" si="1"/>
        <v/>
      </c>
      <c r="I16" s="29" t="str">
        <f t="shared" si="1"/>
        <v/>
      </c>
      <c r="J16" s="27" t="str">
        <f t="shared" si="1"/>
        <v>■</v>
      </c>
      <c r="K16" s="27" t="str">
        <f t="shared" si="1"/>
        <v>■</v>
      </c>
      <c r="L16" s="27" t="str">
        <f t="shared" si="1"/>
        <v/>
      </c>
      <c r="M16" s="19" t="str">
        <f t="shared" si="1"/>
        <v/>
      </c>
      <c r="N16" s="9"/>
    </row>
    <row r="17" spans="1:14" ht="27.6">
      <c r="A17" s="10" t="s">
        <v>69</v>
      </c>
      <c r="B17" s="10" t="s">
        <v>22</v>
      </c>
      <c r="C17" s="10" t="s">
        <v>220</v>
      </c>
      <c r="D17" s="10" t="s">
        <v>222</v>
      </c>
      <c r="E17" s="10" t="s">
        <v>225</v>
      </c>
      <c r="F17" s="21">
        <v>46303</v>
      </c>
      <c r="G17" s="35">
        <v>46310</v>
      </c>
      <c r="H17" s="27" t="str">
        <f t="shared" si="1"/>
        <v/>
      </c>
      <c r="I17" s="29" t="str">
        <f t="shared" si="1"/>
        <v/>
      </c>
      <c r="J17" s="27" t="str">
        <f t="shared" si="1"/>
        <v>■</v>
      </c>
      <c r="K17" s="27" t="str">
        <f t="shared" si="1"/>
        <v>■</v>
      </c>
      <c r="L17" s="27" t="str">
        <f t="shared" si="1"/>
        <v/>
      </c>
      <c r="M17" s="19" t="str">
        <f t="shared" si="1"/>
        <v/>
      </c>
      <c r="N17" s="9"/>
    </row>
    <row r="18" spans="1:14">
      <c r="A18" s="10" t="s">
        <v>73</v>
      </c>
      <c r="B18" s="10" t="s">
        <v>22</v>
      </c>
      <c r="C18" s="10" t="s">
        <v>220</v>
      </c>
      <c r="D18" s="10" t="s">
        <v>221</v>
      </c>
      <c r="E18" s="10" t="s">
        <v>74</v>
      </c>
      <c r="F18" s="21">
        <v>46311</v>
      </c>
      <c r="G18" s="35">
        <v>46315</v>
      </c>
      <c r="H18" s="27" t="str">
        <f t="shared" si="1"/>
        <v/>
      </c>
      <c r="I18" s="29" t="str">
        <f t="shared" si="1"/>
        <v/>
      </c>
      <c r="J18" s="29" t="str">
        <f t="shared" si="1"/>
        <v/>
      </c>
      <c r="K18" s="27" t="str">
        <f t="shared" si="1"/>
        <v>■</v>
      </c>
      <c r="L18" s="27" t="str">
        <f t="shared" si="1"/>
        <v>■</v>
      </c>
      <c r="M18" s="19" t="str">
        <f t="shared" si="1"/>
        <v/>
      </c>
      <c r="N18" s="9"/>
    </row>
    <row r="19" spans="1:14">
      <c r="A19" s="10" t="s">
        <v>77</v>
      </c>
      <c r="B19" s="10" t="s">
        <v>22</v>
      </c>
      <c r="C19" s="10" t="s">
        <v>221</v>
      </c>
      <c r="D19" s="10" t="s">
        <v>220</v>
      </c>
      <c r="E19" s="10" t="s">
        <v>78</v>
      </c>
      <c r="F19" s="21">
        <v>46316</v>
      </c>
      <c r="G19" s="35">
        <v>46320</v>
      </c>
      <c r="H19" s="27" t="str">
        <f t="shared" si="1"/>
        <v/>
      </c>
      <c r="I19" s="27" t="str">
        <f t="shared" si="1"/>
        <v/>
      </c>
      <c r="J19" s="29" t="str">
        <f t="shared" si="1"/>
        <v/>
      </c>
      <c r="K19" s="27" t="str">
        <f t="shared" si="1"/>
        <v/>
      </c>
      <c r="L19" s="27" t="str">
        <f t="shared" si="1"/>
        <v>■</v>
      </c>
      <c r="M19" s="19" t="str">
        <f t="shared" si="1"/>
        <v/>
      </c>
      <c r="N19" s="9"/>
    </row>
    <row r="20" spans="1:14">
      <c r="A20" s="10" t="s">
        <v>80</v>
      </c>
      <c r="B20" s="10" t="s">
        <v>22</v>
      </c>
      <c r="C20" s="10" t="s">
        <v>220</v>
      </c>
      <c r="D20" s="10" t="s">
        <v>221</v>
      </c>
      <c r="E20" s="10" t="s">
        <v>81</v>
      </c>
      <c r="F20" s="21">
        <v>46321</v>
      </c>
      <c r="G20" s="35">
        <v>46324</v>
      </c>
      <c r="H20" s="27" t="str">
        <f t="shared" si="1"/>
        <v/>
      </c>
      <c r="I20" s="27" t="str">
        <f t="shared" si="1"/>
        <v/>
      </c>
      <c r="J20" s="29" t="str">
        <f t="shared" si="1"/>
        <v/>
      </c>
      <c r="K20" s="29" t="str">
        <f t="shared" si="1"/>
        <v/>
      </c>
      <c r="L20" s="27" t="str">
        <f t="shared" si="1"/>
        <v/>
      </c>
      <c r="M20" s="19" t="str">
        <f t="shared" si="1"/>
        <v>■</v>
      </c>
      <c r="N20" s="9"/>
    </row>
    <row r="21" spans="1:14" ht="27.6">
      <c r="A21" s="10" t="s">
        <v>83</v>
      </c>
      <c r="B21" s="10" t="s">
        <v>84</v>
      </c>
      <c r="C21" s="10" t="s">
        <v>222</v>
      </c>
      <c r="D21" s="10" t="s">
        <v>223</v>
      </c>
      <c r="E21" s="21" t="s">
        <v>85</v>
      </c>
      <c r="F21" s="21">
        <v>46289</v>
      </c>
      <c r="G21" s="35">
        <v>46292</v>
      </c>
      <c r="H21" s="27" t="str">
        <f t="shared" si="1"/>
        <v>■</v>
      </c>
      <c r="I21" s="27" t="str">
        <f t="shared" si="1"/>
        <v/>
      </c>
      <c r="J21" s="27" t="str">
        <f t="shared" si="1"/>
        <v/>
      </c>
      <c r="K21" s="29" t="str">
        <f t="shared" si="1"/>
        <v/>
      </c>
      <c r="L21" s="29" t="str">
        <f t="shared" si="1"/>
        <v/>
      </c>
      <c r="M21" s="19" t="str">
        <f t="shared" si="1"/>
        <v/>
      </c>
      <c r="N21" s="9"/>
    </row>
    <row r="22" spans="1:14">
      <c r="A22" s="10" t="s">
        <v>87</v>
      </c>
      <c r="B22" s="10" t="s">
        <v>84</v>
      </c>
      <c r="C22" s="10" t="s">
        <v>223</v>
      </c>
      <c r="D22" s="10" t="s">
        <v>222</v>
      </c>
      <c r="E22" s="21" t="s">
        <v>88</v>
      </c>
      <c r="F22" s="21">
        <v>46289</v>
      </c>
      <c r="G22" s="35">
        <v>46295</v>
      </c>
      <c r="H22" s="27" t="str">
        <f t="shared" si="1"/>
        <v>■</v>
      </c>
      <c r="I22" s="27" t="str">
        <f t="shared" si="1"/>
        <v>■</v>
      </c>
      <c r="J22" s="27" t="str">
        <f t="shared" si="1"/>
        <v/>
      </c>
      <c r="K22" s="27" t="str">
        <f t="shared" si="1"/>
        <v/>
      </c>
      <c r="L22" s="27" t="str">
        <f t="shared" si="1"/>
        <v/>
      </c>
      <c r="M22" s="22" t="str">
        <f t="shared" si="1"/>
        <v/>
      </c>
      <c r="N22" s="9"/>
    </row>
    <row r="23" spans="1:14">
      <c r="A23" s="10" t="s">
        <v>90</v>
      </c>
      <c r="B23" s="10" t="s">
        <v>84</v>
      </c>
      <c r="C23" s="10" t="s">
        <v>222</v>
      </c>
      <c r="D23" s="10" t="s">
        <v>221</v>
      </c>
      <c r="E23" s="21" t="s">
        <v>91</v>
      </c>
      <c r="F23" s="21">
        <v>46293</v>
      </c>
      <c r="G23" s="35">
        <v>46298</v>
      </c>
      <c r="H23" s="27" t="str">
        <f t="shared" si="1"/>
        <v/>
      </c>
      <c r="I23" s="27" t="str">
        <f t="shared" si="1"/>
        <v>■</v>
      </c>
      <c r="J23" s="27" t="str">
        <f t="shared" si="1"/>
        <v/>
      </c>
      <c r="K23" s="27" t="str">
        <f t="shared" si="1"/>
        <v/>
      </c>
      <c r="L23" s="27" t="str">
        <f t="shared" si="1"/>
        <v/>
      </c>
      <c r="M23" s="19" t="str">
        <f t="shared" si="1"/>
        <v/>
      </c>
      <c r="N23" s="11"/>
    </row>
    <row r="24" spans="1:14">
      <c r="A24" s="13" t="s">
        <v>94</v>
      </c>
      <c r="B24" s="13" t="s">
        <v>84</v>
      </c>
      <c r="C24" s="13" t="s">
        <v>222</v>
      </c>
      <c r="D24" s="13"/>
      <c r="E24" s="23" t="s">
        <v>95</v>
      </c>
      <c r="F24" s="23">
        <v>46299</v>
      </c>
      <c r="G24" s="37">
        <v>46303</v>
      </c>
      <c r="H24" s="27" t="str">
        <f t="shared" ref="H24:M33" si="2">IF(OR($F24="",$G24=""),"",IF(AND($F24&lt;=H$3,$G24&gt;=H$2),"■",""))</f>
        <v/>
      </c>
      <c r="I24" s="27" t="str">
        <f t="shared" si="2"/>
        <v>■</v>
      </c>
      <c r="J24" s="27" t="str">
        <f t="shared" si="2"/>
        <v>■</v>
      </c>
      <c r="K24" s="27" t="str">
        <f t="shared" si="2"/>
        <v/>
      </c>
      <c r="L24" s="27" t="str">
        <f t="shared" si="2"/>
        <v/>
      </c>
      <c r="M24" s="19" t="str">
        <f t="shared" si="2"/>
        <v/>
      </c>
      <c r="N24" s="9"/>
    </row>
    <row r="25" spans="1:14" ht="27.6">
      <c r="A25" s="13" t="s">
        <v>98</v>
      </c>
      <c r="B25" s="13" t="s">
        <v>84</v>
      </c>
      <c r="C25" s="13" t="s">
        <v>223</v>
      </c>
      <c r="D25" s="13" t="s">
        <v>222</v>
      </c>
      <c r="E25" s="23" t="s">
        <v>99</v>
      </c>
      <c r="F25" s="23">
        <v>46296</v>
      </c>
      <c r="G25" s="37">
        <v>46302</v>
      </c>
      <c r="H25" s="27" t="str">
        <f t="shared" si="2"/>
        <v/>
      </c>
      <c r="I25" s="27" t="str">
        <f t="shared" si="2"/>
        <v>■</v>
      </c>
      <c r="J25" s="27" t="str">
        <f t="shared" si="2"/>
        <v>■</v>
      </c>
      <c r="K25" s="27" t="str">
        <f t="shared" si="2"/>
        <v/>
      </c>
      <c r="L25" s="27" t="str">
        <f t="shared" si="2"/>
        <v/>
      </c>
      <c r="M25" s="19" t="str">
        <f t="shared" si="2"/>
        <v/>
      </c>
      <c r="N25" s="9"/>
    </row>
    <row r="26" spans="1:14">
      <c r="A26" s="13" t="s">
        <v>101</v>
      </c>
      <c r="B26" s="13" t="s">
        <v>84</v>
      </c>
      <c r="C26" s="13" t="s">
        <v>223</v>
      </c>
      <c r="D26" s="13" t="s">
        <v>222</v>
      </c>
      <c r="E26" s="23" t="s">
        <v>102</v>
      </c>
      <c r="F26" s="23">
        <v>46303</v>
      </c>
      <c r="G26" s="35">
        <v>46309</v>
      </c>
      <c r="H26" s="30" t="str">
        <f t="shared" si="2"/>
        <v/>
      </c>
      <c r="I26" s="27" t="str">
        <f t="shared" si="2"/>
        <v/>
      </c>
      <c r="J26" s="27" t="str">
        <f t="shared" si="2"/>
        <v>■</v>
      </c>
      <c r="K26" s="27" t="str">
        <f t="shared" si="2"/>
        <v>■</v>
      </c>
      <c r="L26" s="27" t="str">
        <f t="shared" si="2"/>
        <v/>
      </c>
      <c r="M26" s="19" t="str">
        <f t="shared" si="2"/>
        <v/>
      </c>
      <c r="N26" s="9"/>
    </row>
    <row r="27" spans="1:14">
      <c r="A27" s="13" t="s">
        <v>104</v>
      </c>
      <c r="B27" s="13" t="s">
        <v>84</v>
      </c>
      <c r="C27" s="13" t="s">
        <v>222</v>
      </c>
      <c r="D27" s="13" t="s">
        <v>220</v>
      </c>
      <c r="E27" s="23" t="s">
        <v>105</v>
      </c>
      <c r="F27" s="23">
        <v>46304</v>
      </c>
      <c r="G27" s="35">
        <v>46310</v>
      </c>
      <c r="H27" s="30" t="str">
        <f t="shared" si="2"/>
        <v/>
      </c>
      <c r="I27" s="27" t="str">
        <f t="shared" si="2"/>
        <v/>
      </c>
      <c r="J27" s="27" t="str">
        <f t="shared" si="2"/>
        <v>■</v>
      </c>
      <c r="K27" s="27" t="str">
        <f t="shared" si="2"/>
        <v>■</v>
      </c>
      <c r="L27" s="27" t="str">
        <f t="shared" si="2"/>
        <v/>
      </c>
      <c r="M27" s="19" t="str">
        <f t="shared" si="2"/>
        <v/>
      </c>
      <c r="N27" s="9"/>
    </row>
    <row r="28" spans="1:14">
      <c r="A28" s="13" t="s">
        <v>108</v>
      </c>
      <c r="B28" s="13" t="s">
        <v>84</v>
      </c>
      <c r="C28" s="13" t="s">
        <v>223</v>
      </c>
      <c r="D28" s="13" t="s">
        <v>222</v>
      </c>
      <c r="E28" s="23" t="s">
        <v>109</v>
      </c>
      <c r="F28" s="23">
        <v>46310</v>
      </c>
      <c r="G28" s="35">
        <v>46314</v>
      </c>
      <c r="H28" s="27" t="str">
        <f t="shared" si="2"/>
        <v/>
      </c>
      <c r="I28" s="30" t="str">
        <f t="shared" si="2"/>
        <v/>
      </c>
      <c r="J28" s="27" t="str">
        <f t="shared" si="2"/>
        <v/>
      </c>
      <c r="K28" s="27" t="str">
        <f t="shared" si="2"/>
        <v>■</v>
      </c>
      <c r="L28" s="27" t="str">
        <f t="shared" si="2"/>
        <v>■</v>
      </c>
      <c r="M28" s="19" t="str">
        <f t="shared" si="2"/>
        <v/>
      </c>
      <c r="N28" s="9"/>
    </row>
    <row r="29" spans="1:14">
      <c r="A29" s="13" t="s">
        <v>112</v>
      </c>
      <c r="B29" s="13" t="s">
        <v>84</v>
      </c>
      <c r="C29" s="13" t="s">
        <v>223</v>
      </c>
      <c r="D29" s="13"/>
      <c r="E29" s="23" t="s">
        <v>113</v>
      </c>
      <c r="F29" s="23">
        <v>46315</v>
      </c>
      <c r="G29" s="35">
        <v>46317</v>
      </c>
      <c r="H29" s="27" t="str">
        <f t="shared" si="2"/>
        <v/>
      </c>
      <c r="I29" s="30" t="str">
        <f t="shared" si="2"/>
        <v/>
      </c>
      <c r="J29" s="30" t="str">
        <f t="shared" si="2"/>
        <v/>
      </c>
      <c r="K29" s="27" t="str">
        <f t="shared" si="2"/>
        <v/>
      </c>
      <c r="L29" s="27" t="str">
        <f t="shared" si="2"/>
        <v>■</v>
      </c>
      <c r="M29" s="19" t="str">
        <f t="shared" si="2"/>
        <v/>
      </c>
      <c r="N29" s="9"/>
    </row>
    <row r="30" spans="1:14" ht="27.6">
      <c r="A30" s="13" t="s">
        <v>115</v>
      </c>
      <c r="B30" s="13" t="s">
        <v>84</v>
      </c>
      <c r="C30" s="13" t="s">
        <v>222</v>
      </c>
      <c r="D30" s="13" t="s">
        <v>224</v>
      </c>
      <c r="E30" s="23" t="s">
        <v>116</v>
      </c>
      <c r="F30" s="23">
        <v>46315</v>
      </c>
      <c r="G30" s="35">
        <v>46320</v>
      </c>
      <c r="H30" s="27" t="str">
        <f t="shared" si="2"/>
        <v/>
      </c>
      <c r="I30" s="27" t="str">
        <f t="shared" si="2"/>
        <v/>
      </c>
      <c r="J30" s="30" t="str">
        <f t="shared" si="2"/>
        <v/>
      </c>
      <c r="K30" s="30" t="str">
        <f t="shared" si="2"/>
        <v/>
      </c>
      <c r="L30" s="27" t="str">
        <f t="shared" si="2"/>
        <v>■</v>
      </c>
      <c r="M30" s="19" t="str">
        <f t="shared" si="2"/>
        <v/>
      </c>
      <c r="N30" s="9"/>
    </row>
    <row r="31" spans="1:14">
      <c r="A31" s="13" t="s">
        <v>119</v>
      </c>
      <c r="B31" s="13" t="s">
        <v>84</v>
      </c>
      <c r="C31" s="13" t="s">
        <v>222</v>
      </c>
      <c r="D31" s="13" t="s">
        <v>223</v>
      </c>
      <c r="E31" s="23" t="s">
        <v>120</v>
      </c>
      <c r="F31" s="23">
        <v>46321</v>
      </c>
      <c r="G31" s="35">
        <v>46324</v>
      </c>
      <c r="H31" s="27" t="str">
        <f t="shared" si="2"/>
        <v/>
      </c>
      <c r="I31" s="27" t="str">
        <f t="shared" si="2"/>
        <v/>
      </c>
      <c r="J31" s="27" t="str">
        <f t="shared" si="2"/>
        <v/>
      </c>
      <c r="K31" s="30" t="str">
        <f t="shared" si="2"/>
        <v/>
      </c>
      <c r="L31" s="27" t="str">
        <f t="shared" si="2"/>
        <v/>
      </c>
      <c r="M31" s="19" t="str">
        <f t="shared" si="2"/>
        <v>■</v>
      </c>
      <c r="N31" s="9"/>
    </row>
    <row r="32" spans="1:14">
      <c r="A32" s="13" t="s">
        <v>123</v>
      </c>
      <c r="B32" s="13" t="s">
        <v>84</v>
      </c>
      <c r="C32" s="13" t="s">
        <v>223</v>
      </c>
      <c r="D32" s="13" t="s">
        <v>222</v>
      </c>
      <c r="E32" s="23" t="s">
        <v>124</v>
      </c>
      <c r="F32" s="23">
        <v>46321</v>
      </c>
      <c r="G32" s="35">
        <v>46325</v>
      </c>
      <c r="H32" s="27" t="str">
        <f t="shared" si="2"/>
        <v/>
      </c>
      <c r="I32" s="27" t="str">
        <f t="shared" si="2"/>
        <v/>
      </c>
      <c r="J32" s="27" t="str">
        <f t="shared" si="2"/>
        <v/>
      </c>
      <c r="K32" s="30" t="str">
        <f t="shared" si="2"/>
        <v/>
      </c>
      <c r="L32" s="30" t="str">
        <f t="shared" si="2"/>
        <v/>
      </c>
      <c r="M32" s="19" t="str">
        <f t="shared" si="2"/>
        <v>■</v>
      </c>
      <c r="N32" s="9"/>
    </row>
    <row r="33" spans="1:14" ht="27.6">
      <c r="A33" s="13" t="s">
        <v>126</v>
      </c>
      <c r="B33" s="13" t="s">
        <v>127</v>
      </c>
      <c r="C33" s="13" t="s">
        <v>222</v>
      </c>
      <c r="D33" s="13" t="s">
        <v>128</v>
      </c>
      <c r="E33" s="23" t="s">
        <v>129</v>
      </c>
      <c r="F33" s="23">
        <v>46326</v>
      </c>
      <c r="G33" s="38">
        <v>46326</v>
      </c>
      <c r="H33" s="19" t="str">
        <f t="shared" si="2"/>
        <v/>
      </c>
      <c r="I33" s="19" t="str">
        <f t="shared" si="2"/>
        <v/>
      </c>
      <c r="J33" s="19" t="str">
        <f t="shared" si="2"/>
        <v/>
      </c>
      <c r="K33" s="19" t="str">
        <f t="shared" si="2"/>
        <v/>
      </c>
      <c r="L33" s="24" t="str">
        <f t="shared" si="2"/>
        <v/>
      </c>
      <c r="M33" s="19" t="str">
        <f t="shared" si="2"/>
        <v>■</v>
      </c>
      <c r="N33" s="9"/>
    </row>
    <row r="34" spans="1:14">
      <c r="A34" s="12"/>
      <c r="B34" s="12"/>
      <c r="C34" s="12"/>
      <c r="D34" s="13"/>
      <c r="E34" s="14"/>
      <c r="F34" s="14"/>
      <c r="G34" s="9"/>
      <c r="H34" s="9"/>
      <c r="I34" s="9"/>
      <c r="J34" s="9"/>
      <c r="K34" s="9"/>
      <c r="L34" s="15"/>
      <c r="M34" s="15"/>
      <c r="N34" s="9"/>
    </row>
    <row r="35" spans="1:14">
      <c r="A35" s="12"/>
      <c r="B35" s="12"/>
      <c r="C35" s="12"/>
      <c r="D35" s="13"/>
      <c r="E35" s="14"/>
      <c r="F35" s="14"/>
      <c r="G35" s="9"/>
      <c r="H35" s="9"/>
      <c r="I35" s="9"/>
      <c r="J35" s="9"/>
      <c r="K35" s="9"/>
      <c r="L35" s="9"/>
      <c r="M35" s="15"/>
      <c r="N35" s="9"/>
    </row>
    <row r="36" spans="1:14">
      <c r="A36" s="12"/>
      <c r="B36" s="12"/>
      <c r="C36" s="12"/>
      <c r="D36" s="13"/>
      <c r="E36" s="14"/>
      <c r="F36" s="14"/>
      <c r="G36" s="9"/>
      <c r="H36" s="9"/>
      <c r="I36" s="9"/>
      <c r="J36" s="9"/>
      <c r="K36" s="9"/>
      <c r="L36" s="9"/>
      <c r="M36" s="9"/>
      <c r="N36" s="15"/>
    </row>
  </sheetData>
  <phoneticPr fontId="11" type="noConversion"/>
  <conditionalFormatting sqref="G4:L32">
    <cfRule type="expression" dxfId="6" priority="1">
      <formula>AND(G4="■",$B4="机械框架")</formula>
    </cfRule>
    <cfRule type="expression" dxfId="5" priority="2">
      <formula>AND(G4="■",$B4="电气传感")</formula>
    </cfRule>
    <cfRule type="expression" dxfId="4" priority="3">
      <formula>AND(G4="■",$B4="控制系统")</formula>
    </cfRule>
  </conditionalFormatting>
  <conditionalFormatting sqref="H4:M33">
    <cfRule type="expression" dxfId="3" priority="4">
      <formula>AND(H4="■",$B4="机械框架")</formula>
    </cfRule>
    <cfRule type="expression" dxfId="2" priority="5">
      <formula>AND(H4="■",$B4="电气传感")</formula>
    </cfRule>
    <cfRule type="expression" dxfId="1" priority="6">
      <formula>AND(H4="■",$B4="控制系统")</formula>
    </cfRule>
    <cfRule type="expression" dxfId="0" priority="7">
      <formula>AND(H4="■",$B4="系统验收")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workbookViewId="0">
      <selection activeCell="D22" sqref="D22"/>
    </sheetView>
  </sheetViews>
  <sheetFormatPr defaultRowHeight="13.8"/>
  <cols>
    <col min="1" max="1" width="20" customWidth="1"/>
    <col min="2" max="2" width="18" customWidth="1"/>
    <col min="3" max="3" width="58" customWidth="1"/>
    <col min="4" max="4" width="38" customWidth="1"/>
  </cols>
  <sheetData>
    <row r="1" spans="1:4">
      <c r="A1" s="34" t="s">
        <v>141</v>
      </c>
      <c r="B1" s="34" t="s">
        <v>142</v>
      </c>
      <c r="C1" s="34" t="s">
        <v>143</v>
      </c>
      <c r="D1" s="34" t="s">
        <v>144</v>
      </c>
    </row>
    <row r="2" spans="1:4">
      <c r="A2" s="6" t="s">
        <v>145</v>
      </c>
      <c r="B2" s="6" t="s">
        <v>146</v>
      </c>
      <c r="C2" s="6" t="s">
        <v>147</v>
      </c>
      <c r="D2" s="6" t="s">
        <v>148</v>
      </c>
    </row>
    <row r="3" spans="1:4" ht="27.6">
      <c r="A3" s="6" t="s">
        <v>149</v>
      </c>
      <c r="B3" s="6" t="s">
        <v>150</v>
      </c>
      <c r="C3" s="6" t="s">
        <v>151</v>
      </c>
      <c r="D3" s="6" t="s">
        <v>152</v>
      </c>
    </row>
    <row r="4" spans="1:4" ht="27.6">
      <c r="A4" s="6" t="s">
        <v>153</v>
      </c>
      <c r="B4" s="6" t="s">
        <v>154</v>
      </c>
      <c r="C4" s="6" t="s">
        <v>155</v>
      </c>
      <c r="D4" s="6" t="s">
        <v>156</v>
      </c>
    </row>
    <row r="5" spans="1:4" ht="41.4">
      <c r="A5" s="6" t="s">
        <v>157</v>
      </c>
      <c r="B5" s="6" t="s">
        <v>158</v>
      </c>
      <c r="C5" s="6" t="s">
        <v>159</v>
      </c>
      <c r="D5" s="6" t="s">
        <v>160</v>
      </c>
    </row>
    <row r="6" spans="1:4" ht="27.6">
      <c r="A6" s="6" t="s">
        <v>161</v>
      </c>
      <c r="B6" s="6" t="s">
        <v>162</v>
      </c>
      <c r="C6" s="6" t="s">
        <v>163</v>
      </c>
      <c r="D6" s="6" t="s">
        <v>164</v>
      </c>
    </row>
    <row r="7" spans="1:4">
      <c r="A7" s="6" t="s">
        <v>165</v>
      </c>
      <c r="B7" s="6" t="s">
        <v>166</v>
      </c>
      <c r="C7" s="6" t="s">
        <v>167</v>
      </c>
      <c r="D7" s="6" t="s">
        <v>168</v>
      </c>
    </row>
    <row r="8" spans="1:4">
      <c r="A8" s="6"/>
      <c r="B8" s="6"/>
      <c r="C8" s="6"/>
      <c r="D8" s="6"/>
    </row>
    <row r="9" spans="1:4">
      <c r="A9" s="34" t="s">
        <v>169</v>
      </c>
      <c r="B9" s="34" t="s">
        <v>170</v>
      </c>
      <c r="C9" s="34" t="s">
        <v>171</v>
      </c>
      <c r="D9" s="34" t="s">
        <v>172</v>
      </c>
    </row>
    <row r="10" spans="1:4">
      <c r="A10" s="5" t="s">
        <v>173</v>
      </c>
      <c r="B10" s="33">
        <v>46295</v>
      </c>
      <c r="C10" s="5" t="s">
        <v>174</v>
      </c>
      <c r="D10" s="6" t="s">
        <v>175</v>
      </c>
    </row>
    <row r="11" spans="1:4">
      <c r="A11" s="6" t="s">
        <v>176</v>
      </c>
      <c r="B11" s="31">
        <v>46302</v>
      </c>
      <c r="C11" s="6" t="s">
        <v>177</v>
      </c>
      <c r="D11" s="6" t="s">
        <v>178</v>
      </c>
    </row>
    <row r="12" spans="1:4">
      <c r="A12" s="6" t="s">
        <v>179</v>
      </c>
      <c r="B12" s="31">
        <v>46310</v>
      </c>
      <c r="C12" s="6" t="s">
        <v>180</v>
      </c>
      <c r="D12" s="6" t="s">
        <v>181</v>
      </c>
    </row>
    <row r="13" spans="1:4">
      <c r="A13" s="6" t="s">
        <v>182</v>
      </c>
      <c r="B13" s="31">
        <v>46315</v>
      </c>
      <c r="C13" s="6" t="s">
        <v>183</v>
      </c>
      <c r="D13" s="6" t="s">
        <v>178</v>
      </c>
    </row>
    <row r="14" spans="1:4">
      <c r="A14" s="6" t="s">
        <v>184</v>
      </c>
      <c r="B14" s="31">
        <v>46320</v>
      </c>
      <c r="C14" s="6" t="s">
        <v>185</v>
      </c>
      <c r="D14" s="6" t="s">
        <v>186</v>
      </c>
    </row>
    <row r="15" spans="1:4">
      <c r="A15" s="6" t="s">
        <v>187</v>
      </c>
      <c r="B15" s="31">
        <v>46325</v>
      </c>
      <c r="C15" s="6" t="s">
        <v>188</v>
      </c>
      <c r="D15" s="6" t="s">
        <v>178</v>
      </c>
    </row>
    <row r="16" spans="1:4">
      <c r="A16" s="6" t="s">
        <v>165</v>
      </c>
      <c r="B16" s="31">
        <v>46326</v>
      </c>
      <c r="C16" s="6" t="s">
        <v>189</v>
      </c>
      <c r="D16" s="6" t="s">
        <v>130</v>
      </c>
    </row>
    <row r="17" spans="1:4">
      <c r="A17" s="6"/>
      <c r="B17" s="6"/>
      <c r="C17" s="6"/>
      <c r="D17" s="6"/>
    </row>
    <row r="18" spans="1:4">
      <c r="A18" s="32"/>
      <c r="B18" s="32"/>
      <c r="C18" s="32"/>
      <c r="D18" s="32"/>
    </row>
    <row r="19" spans="1:4">
      <c r="A19" s="6"/>
      <c r="B19" s="6"/>
      <c r="C19" s="31"/>
      <c r="D19" s="6"/>
    </row>
    <row r="20" spans="1:4">
      <c r="A20" s="6"/>
      <c r="B20" s="6"/>
      <c r="C20" s="31"/>
      <c r="D20" s="6"/>
    </row>
    <row r="21" spans="1:4">
      <c r="A21" s="6"/>
      <c r="B21" s="6"/>
      <c r="C21" s="31"/>
      <c r="D21" s="6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D16" sqref="D16"/>
    </sheetView>
  </sheetViews>
  <sheetFormatPr defaultRowHeight="13.8"/>
  <cols>
    <col min="1" max="1" width="12" customWidth="1"/>
    <col min="2" max="2" width="16" customWidth="1"/>
    <col min="3" max="3" width="40" customWidth="1"/>
    <col min="4" max="4" width="28" customWidth="1"/>
    <col min="5" max="6" width="36" customWidth="1"/>
  </cols>
  <sheetData>
    <row r="1" spans="1:6">
      <c r="A1" s="34" t="s">
        <v>1</v>
      </c>
      <c r="B1" s="34" t="s">
        <v>2</v>
      </c>
      <c r="C1" s="34" t="s">
        <v>190</v>
      </c>
      <c r="D1" s="34" t="s">
        <v>191</v>
      </c>
      <c r="E1" s="34" t="s">
        <v>192</v>
      </c>
      <c r="F1" s="34" t="s">
        <v>193</v>
      </c>
    </row>
    <row r="2" spans="1:6" ht="27.6">
      <c r="A2" s="6" t="s">
        <v>13</v>
      </c>
      <c r="B2" s="6" t="s">
        <v>218</v>
      </c>
      <c r="C2" s="6" t="s">
        <v>194</v>
      </c>
      <c r="D2" s="6" t="s">
        <v>195</v>
      </c>
      <c r="E2" s="6" t="s">
        <v>196</v>
      </c>
      <c r="F2" s="6" t="s">
        <v>197</v>
      </c>
    </row>
    <row r="3" spans="1:6" ht="27.6">
      <c r="A3" s="6" t="s">
        <v>13</v>
      </c>
      <c r="B3" s="6" t="s">
        <v>219</v>
      </c>
      <c r="C3" s="6" t="s">
        <v>198</v>
      </c>
      <c r="D3" s="6" t="s">
        <v>199</v>
      </c>
      <c r="E3" s="6" t="s">
        <v>200</v>
      </c>
      <c r="F3" s="6" t="s">
        <v>201</v>
      </c>
    </row>
    <row r="4" spans="1:6" ht="27.6">
      <c r="A4" s="6" t="s">
        <v>22</v>
      </c>
      <c r="B4" s="6" t="s">
        <v>220</v>
      </c>
      <c r="C4" s="6" t="s">
        <v>202</v>
      </c>
      <c r="D4" s="6" t="s">
        <v>203</v>
      </c>
      <c r="E4" s="6" t="s">
        <v>204</v>
      </c>
      <c r="F4" s="6" t="s">
        <v>205</v>
      </c>
    </row>
    <row r="5" spans="1:6" ht="27.6">
      <c r="A5" s="6" t="s">
        <v>22</v>
      </c>
      <c r="B5" s="6" t="s">
        <v>221</v>
      </c>
      <c r="C5" s="6" t="s">
        <v>206</v>
      </c>
      <c r="D5" s="6" t="s">
        <v>207</v>
      </c>
      <c r="E5" s="6" t="s">
        <v>208</v>
      </c>
      <c r="F5" s="6" t="s">
        <v>209</v>
      </c>
    </row>
    <row r="6" spans="1:6" ht="27.6">
      <c r="A6" s="6" t="s">
        <v>84</v>
      </c>
      <c r="B6" s="6" t="s">
        <v>222</v>
      </c>
      <c r="C6" s="6" t="s">
        <v>210</v>
      </c>
      <c r="D6" s="6" t="s">
        <v>211</v>
      </c>
      <c r="E6" s="6" t="s">
        <v>212</v>
      </c>
      <c r="F6" s="6" t="s">
        <v>213</v>
      </c>
    </row>
    <row r="7" spans="1:6" ht="27.6">
      <c r="A7" s="6" t="s">
        <v>84</v>
      </c>
      <c r="B7" s="6" t="s">
        <v>223</v>
      </c>
      <c r="C7" s="6" t="s">
        <v>214</v>
      </c>
      <c r="D7" s="6" t="s">
        <v>215</v>
      </c>
      <c r="E7" s="6" t="s">
        <v>216</v>
      </c>
      <c r="F7" s="6" t="s">
        <v>217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任务计划</vt:lpstr>
      <vt:lpstr>甘特图</vt:lpstr>
      <vt:lpstr>人员与里程碑</vt:lpstr>
      <vt:lpstr>负责人映射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LINGYSXIN</cp:lastModifiedBy>
  <dcterms:modified xsi:type="dcterms:W3CDTF">2026-09-28T12:24:11Z</dcterms:modified>
</cp:coreProperties>
</file>